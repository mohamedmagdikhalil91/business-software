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aw Data" sheetId="2" state="visible" r:id="rId2"/>
    <sheet xmlns:r="http://schemas.openxmlformats.org/officeDocument/2006/relationships" name="Reference" sheetId="3" state="visible" r:id="rId3"/>
    <sheet xmlns:r="http://schemas.openxmlformats.org/officeDocument/2006/relationships" name="Fixed Costs" sheetId="4" state="visible" r:id="rId4"/>
    <sheet xmlns:r="http://schemas.openxmlformats.org/officeDocument/2006/relationships" name="P&amp;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"/>
    <numFmt numFmtId="166" formatCode="#,##0.00 &quot;€&quot;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name val="Calibri"/>
      <i val="1"/>
      <color rgb="00595959"/>
      <sz val="10"/>
    </font>
    <font>
      <name val="Calibri"/>
      <b val="1"/>
      <color rgb="00375623"/>
      <sz val="11"/>
    </font>
    <font>
      <name val="Calibri"/>
      <b val="1"/>
      <color rgb="00FFFFFF"/>
      <sz val="13"/>
    </font>
  </fonts>
  <fills count="1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4472C4"/>
      </patternFill>
    </fill>
    <fill>
      <patternFill patternType="solid">
        <fgColor rgb="00EBF3E8"/>
      </patternFill>
    </fill>
    <fill>
      <patternFill patternType="solid">
        <fgColor rgb="00FCE4D6"/>
      </patternFill>
    </fill>
    <fill>
      <patternFill patternType="solid">
        <fgColor rgb="00BDD7EE"/>
      </patternFill>
    </fill>
    <fill>
      <patternFill patternType="solid">
        <fgColor rgb="00FFF2CC"/>
      </patternFill>
    </fill>
    <fill>
      <patternFill patternType="solid">
        <fgColor rgb="00FFF9C4"/>
      </patternFill>
    </fill>
    <fill>
      <patternFill patternType="solid">
        <fgColor rgb="00E8F4FD"/>
      </patternFill>
    </fill>
    <fill>
      <patternFill patternType="solid">
        <fgColor rgb="00D9EAD3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FFF99"/>
      </patternFill>
    </fill>
    <fill>
      <patternFill patternType="solid">
        <fgColor rgb="007B68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/>
    </xf>
    <xf numFmtId="165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3" fontId="3" fillId="6" borderId="1" applyAlignment="1" pivotButton="0" quotePrefix="0" xfId="0">
      <alignment horizontal="right" vertical="center"/>
    </xf>
    <xf numFmtId="166" fontId="3" fillId="6" borderId="1" applyAlignment="1" pivotButton="0" quotePrefix="0" xfId="0">
      <alignment horizontal="right" vertical="center"/>
    </xf>
    <xf numFmtId="165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3" fontId="3" fillId="7" borderId="1" applyAlignment="1" pivotButton="0" quotePrefix="0" xfId="0">
      <alignment horizontal="right" vertical="center"/>
    </xf>
    <xf numFmtId="166" fontId="3" fillId="7" borderId="1" applyAlignment="1" pivotButton="0" quotePrefix="0" xfId="0">
      <alignment horizontal="right" vertical="center"/>
    </xf>
    <xf numFmtId="0" fontId="1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4" fillId="8" borderId="0" applyAlignment="1" pivotButton="0" quotePrefix="0" xfId="0">
      <alignment wrapText="1"/>
    </xf>
    <xf numFmtId="0" fontId="1" fillId="2" borderId="0" applyAlignment="1" pivotButton="0" quotePrefix="0" xfId="0">
      <alignment horizontal="left" vertical="center"/>
    </xf>
    <xf numFmtId="0" fontId="2" fillId="7" borderId="0" applyAlignment="1" pivotButton="0" quotePrefix="0" xfId="0">
      <alignment vertical="center" wrapText="1"/>
    </xf>
    <xf numFmtId="0" fontId="3" fillId="9" borderId="0" applyAlignment="1" pivotButton="0" quotePrefix="0" xfId="0">
      <alignment vertical="center" wrapText="1"/>
    </xf>
    <xf numFmtId="0" fontId="2" fillId="1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5" fillId="11" borderId="0" applyAlignment="1" pivotButton="0" quotePrefix="0" xfId="0">
      <alignment vertical="center" wrapText="1"/>
    </xf>
    <xf numFmtId="0" fontId="6" fillId="2" borderId="0" applyAlignment="1" pivotButton="0" quotePrefix="0" xfId="0">
      <alignment horizontal="left" vertical="center"/>
    </xf>
    <xf numFmtId="0" fontId="1" fillId="3" borderId="1" applyAlignment="1" pivotButton="0" quotePrefix="0" xfId="0">
      <alignment horizontal="left" vertical="center"/>
    </xf>
    <xf numFmtId="0" fontId="4" fillId="12" borderId="1" applyAlignment="1" pivotButton="0" quotePrefix="0" xfId="0">
      <alignment horizontal="left" vertical="center"/>
    </xf>
    <xf numFmtId="0" fontId="2" fillId="13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left" vertical="center"/>
    </xf>
    <xf numFmtId="0" fontId="4" fillId="12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6" fontId="5" fillId="11" borderId="1" applyAlignment="1" pivotButton="0" quotePrefix="0" xfId="0">
      <alignment horizontal="right" vertical="center"/>
    </xf>
    <xf numFmtId="0" fontId="1" fillId="14" borderId="1" applyAlignment="1" pivotButton="0" quotePrefix="0" xfId="0">
      <alignment horizontal="left" vertical="center"/>
    </xf>
    <xf numFmtId="0" fontId="4" fillId="8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30" customHeight="1">
      <c r="A1" s="1" t="inlineStr">
        <is>
          <t>📋  Instructions  |  Zenith Wellness 🧘  |  Financial Model</t>
        </is>
      </c>
    </row>
    <row r="2" ht="20" customHeight="1">
      <c r="A2" s="2" t="inlineStr">
        <is>
          <t>Section</t>
        </is>
      </c>
      <c r="B2" s="3" t="inlineStr">
        <is>
          <t>Details</t>
        </is>
      </c>
    </row>
    <row r="3" ht="65" customHeight="1">
      <c r="A3" s="4" t="inlineStr">
        <is>
          <t>Overview</t>
        </is>
      </c>
      <c r="B3" s="5" t="inlineStr">
        <is>
          <t>This workbook has five sheets:
① Raw Data     – individual revenue and cost transactions for FY 2025
② Reference    – a lookup table of standard unit rates by category
③ Fixed Costs  – monthly unit costs; name these cells before using them in the P&amp;L
④ P&amp;L          – the Profit &amp; Loss statement you will build using formulas
⑤ Instructions – this sheet</t>
        </is>
      </c>
    </row>
    <row r="4" ht="65" customHeight="1">
      <c r="A4" s="4" t="inlineStr">
        <is>
          <t>Your Task</t>
        </is>
      </c>
      <c r="B4" s="5" t="inlineStr">
        <is>
          <t>Navigate to the P&amp;L sheet and fill in every 🟨 YELLOW cell with the correct formula.
Each yellow cell has a plain-English hint in the column next to it — your job is to translate that instruction into an Excel formula.
Do NOT change pre-filled cells (blue = given inputs, green = auto-calculated totals).</t>
        </is>
      </c>
    </row>
    <row r="5" ht="65" customHeight="1">
      <c r="A5" s="4" t="inlineStr">
        <is>
          <t>Step 1 – SUMIF</t>
        </is>
      </c>
      <c r="B5" s="5" t="inlineStr">
        <is>
          <t>Revenue and Cost lines in the P&amp;L need to be totalled from the Raw Data sheet.
Formula pattern:  =SUMIF('Raw Data'!D:D, "Category Name", 'Raw Data'!H:H)
Read the hint, identify the category name, then write the formula yourself.</t>
        </is>
      </c>
    </row>
    <row r="6" ht="65" customHeight="1">
      <c r="A6" s="4" t="inlineStr">
        <is>
          <t>Step 2 – VLOOKUP</t>
        </is>
      </c>
      <c r="B6" s="5" t="inlineStr">
        <is>
          <t>Two cells ask you to look up a standard rate from the Reference sheet.
Formula pattern:  =VLOOKUP("Category Name", Reference!A:C, 2, FALSE)
Column A = Category  |  Column B = Standard Rate  |  Always use FALSE for exact match.</t>
        </is>
      </c>
    </row>
    <row r="7" ht="65" customHeight="1">
      <c r="A7" s="4" t="inlineStr">
        <is>
          <t>Step 3 – Cell Naming (Fixed Costs sheet)</t>
        </is>
      </c>
      <c r="B7" s="5" t="inlineStr">
        <is>
          <t>Go to the Fixed Costs sheet BEFORE writing the P&amp;L fixed cost formulas.
Follow the instructions there to name each monthly cost cell.
Then in the P&amp;L, reference those names directly — e.g. =Salaries_Mo * 12</t>
        </is>
      </c>
    </row>
    <row r="8" ht="65" customHeight="1">
      <c r="A8" s="4" t="inlineStr">
        <is>
          <t>Step 4 – IF / IFS</t>
        </is>
      </c>
      <c r="B8" s="5" t="inlineStr">
        <is>
          <t>The EBIT section includes two logic flags.
IF pattern:   =IF(condition, "value if true", "value if false")
IFS pattern:  =IFS(condition1, "result1", condition2, "result2", TRUE, "default")</t>
        </is>
      </c>
    </row>
    <row r="9" ht="65" customHeight="1">
      <c r="A9" s="4" t="inlineStr">
        <is>
          <t>Step 5 – Pivot Table</t>
        </is>
      </c>
      <c r="B9" s="5" t="inlineStr">
        <is>
          <t>Once the P&amp;L is complete, insert a Pivot Table from the Raw Data sheet to verify your numbers:
• Rows: Category  • Values: Sum of Total (€)  • Filter: Type (Revenue / Cost)
If a Pivot total differs from your SUMIF, look for a typo or extra space in a category name.</t>
        </is>
      </c>
    </row>
    <row r="10" ht="65" customHeight="1">
      <c r="A10" s="4" t="inlineStr">
        <is>
          <t>Color Legend</t>
        </is>
      </c>
      <c r="B10" s="5" t="inlineStr">
        <is>
          <t>🟦 Blue  = pre-filled input — do not change
🟨 Yellow = write your formula here
🟩 Green = auto-calculated total (formula already written)</t>
        </is>
      </c>
    </row>
    <row r="11" ht="65" customHeight="1">
      <c r="A11" s="4" t="inlineStr">
        <is>
          <t>Tips</t>
        </is>
      </c>
      <c r="B11" s="5" t="inlineStr">
        <is>
          <t>• Sheet names with spaces need single quotes: 'Raw Data'!D:D
• SUMIF is case-insensitive — category names must match exactly (no typos or extra spaces)
• Press F4 after clicking a cell reference to add $ signs (lock the reference)
• Use IFERROR to wrap any formula that might show an error: =IFERROR(your_formula, 0)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26" customWidth="1" min="4" max="4"/>
    <col width="36" customWidth="1" min="5" max="5"/>
    <col width="10" customWidth="1" min="6" max="6"/>
    <col width="14" customWidth="1" min="7" max="7"/>
    <col width="14" customWidth="1" min="8" max="8"/>
  </cols>
  <sheetData>
    <row r="1">
      <c r="A1" s="6" t="inlineStr">
        <is>
          <t>Date</t>
        </is>
      </c>
      <c r="B1" s="6" t="inlineStr">
        <is>
          <t>TxID</t>
        </is>
      </c>
      <c r="C1" s="6" t="inlineStr">
        <is>
          <t>Type</t>
        </is>
      </c>
      <c r="D1" s="6" t="inlineStr">
        <is>
          <t>Category</t>
        </is>
      </c>
      <c r="E1" s="6" t="inlineStr">
        <is>
          <t>Description</t>
        </is>
      </c>
      <c r="F1" s="6" t="inlineStr">
        <is>
          <t>Qty</t>
        </is>
      </c>
      <c r="G1" s="6" t="inlineStr">
        <is>
          <t>Unit Price (€)</t>
        </is>
      </c>
      <c r="H1" s="6" t="inlineStr">
        <is>
          <t>Total (€)</t>
        </is>
      </c>
    </row>
    <row r="2">
      <c r="A2" s="7" t="n">
        <v>45662</v>
      </c>
      <c r="B2" s="8" t="inlineStr">
        <is>
          <t>INV-013</t>
        </is>
      </c>
      <c r="C2" s="9" t="inlineStr">
        <is>
          <t>Revenue</t>
        </is>
      </c>
      <c r="D2" s="8" t="inlineStr">
        <is>
          <t>Corporate Packages</t>
        </is>
      </c>
      <c r="E2" s="8" t="inlineStr">
        <is>
          <t>Corporate wellness package – 1</t>
        </is>
      </c>
      <c r="F2" s="10" t="n">
        <v>3</v>
      </c>
      <c r="G2" s="11" t="n">
        <v>650</v>
      </c>
      <c r="H2" s="11" t="n">
        <v>1950</v>
      </c>
    </row>
    <row r="3">
      <c r="A3" s="12" t="n">
        <v>45665</v>
      </c>
      <c r="B3" s="13" t="inlineStr">
        <is>
          <t>COST-001</t>
        </is>
      </c>
      <c r="C3" s="14" t="inlineStr">
        <is>
          <t>Cost</t>
        </is>
      </c>
      <c r="D3" s="13" t="inlineStr">
        <is>
          <t>Instructor Pay</t>
        </is>
      </c>
      <c r="E3" s="13" t="inlineStr">
        <is>
          <t>Instructor fees – monthly</t>
        </is>
      </c>
      <c r="F3" s="15" t="n">
        <v>43</v>
      </c>
      <c r="G3" s="16" t="n">
        <v>45</v>
      </c>
      <c r="H3" s="16" t="n">
        <v>1935</v>
      </c>
    </row>
    <row r="4">
      <c r="A4" s="12" t="n">
        <v>45667</v>
      </c>
      <c r="B4" s="13" t="inlineStr">
        <is>
          <t>COST-013</t>
        </is>
      </c>
      <c r="C4" s="14" t="inlineStr">
        <is>
          <t>Cost</t>
        </is>
      </c>
      <c r="D4" s="13" t="inlineStr">
        <is>
          <t>Studio Consumables</t>
        </is>
      </c>
      <c r="E4" s="13" t="inlineStr">
        <is>
          <t>Mats, props &amp; supplies – annual</t>
        </is>
      </c>
      <c r="F4" s="15" t="n">
        <v>1</v>
      </c>
      <c r="G4" s="16" t="n">
        <v>1800</v>
      </c>
      <c r="H4" s="16" t="n">
        <v>1800</v>
      </c>
    </row>
    <row r="5">
      <c r="A5" s="7" t="n">
        <v>45670</v>
      </c>
      <c r="B5" s="8" t="inlineStr">
        <is>
          <t>INV-001</t>
        </is>
      </c>
      <c r="C5" s="9" t="inlineStr">
        <is>
          <t>Revenue</t>
        </is>
      </c>
      <c r="D5" s="8" t="inlineStr">
        <is>
          <t>In-Studio Membership</t>
        </is>
      </c>
      <c r="E5" s="8" t="inlineStr">
        <is>
          <t>In-studio membership billing – Q1</t>
        </is>
      </c>
      <c r="F5" s="10" t="n">
        <v>210</v>
      </c>
      <c r="G5" s="11" t="n">
        <v>120</v>
      </c>
      <c r="H5" s="11" t="n">
        <v>25200</v>
      </c>
    </row>
    <row r="6">
      <c r="A6" s="7" t="n">
        <v>45670</v>
      </c>
      <c r="B6" s="8" t="inlineStr">
        <is>
          <t>INV-005</t>
        </is>
      </c>
      <c r="C6" s="9" t="inlineStr">
        <is>
          <t>Revenue</t>
        </is>
      </c>
      <c r="D6" s="8" t="inlineStr">
        <is>
          <t>Drop-In Passes</t>
        </is>
      </c>
      <c r="E6" s="8" t="inlineStr">
        <is>
          <t>Drop-in class passes – Q1</t>
        </is>
      </c>
      <c r="F6" s="10" t="n">
        <v>120</v>
      </c>
      <c r="G6" s="11" t="n">
        <v>18</v>
      </c>
      <c r="H6" s="11" t="n">
        <v>2160</v>
      </c>
    </row>
    <row r="7">
      <c r="A7" s="7" t="n">
        <v>45671</v>
      </c>
      <c r="B7" s="8" t="inlineStr">
        <is>
          <t>INV-009</t>
        </is>
      </c>
      <c r="C7" s="9" t="inlineStr">
        <is>
          <t>Revenue</t>
        </is>
      </c>
      <c r="D7" s="8" t="inlineStr">
        <is>
          <t>Online Subscription</t>
        </is>
      </c>
      <c r="E7" s="8" t="inlineStr">
        <is>
          <t>Online subscription billing – Q1</t>
        </is>
      </c>
      <c r="F7" s="10" t="n">
        <v>130</v>
      </c>
      <c r="G7" s="11" t="n">
        <v>29.99</v>
      </c>
      <c r="H7" s="11" t="n">
        <v>3898.7</v>
      </c>
    </row>
    <row r="8">
      <c r="A8" s="12" t="n">
        <v>45676</v>
      </c>
      <c r="B8" s="13" t="inlineStr">
        <is>
          <t>COST-014</t>
        </is>
      </c>
      <c r="C8" s="14" t="inlineStr">
        <is>
          <t>Cost</t>
        </is>
      </c>
      <c r="D8" s="13" t="inlineStr">
        <is>
          <t>Online Hosting</t>
        </is>
      </c>
      <c r="E8" s="13" t="inlineStr">
        <is>
          <t>Platform hosting &amp; streaming – annual</t>
        </is>
      </c>
      <c r="F8" s="15" t="n">
        <v>1</v>
      </c>
      <c r="G8" s="16" t="n">
        <v>2400</v>
      </c>
      <c r="H8" s="16" t="n">
        <v>2400</v>
      </c>
    </row>
    <row r="9">
      <c r="A9" s="12" t="n">
        <v>45695</v>
      </c>
      <c r="B9" s="13" t="inlineStr">
        <is>
          <t>COST-002</t>
        </is>
      </c>
      <c r="C9" s="14" t="inlineStr">
        <is>
          <t>Cost</t>
        </is>
      </c>
      <c r="D9" s="13" t="inlineStr">
        <is>
          <t>Instructor Pay</t>
        </is>
      </c>
      <c r="E9" s="13" t="inlineStr">
        <is>
          <t>Instructor fees – monthly</t>
        </is>
      </c>
      <c r="F9" s="15" t="n">
        <v>43</v>
      </c>
      <c r="G9" s="16" t="n">
        <v>45</v>
      </c>
      <c r="H9" s="16" t="n">
        <v>1935</v>
      </c>
    </row>
    <row r="10">
      <c r="A10" s="7" t="n">
        <v>45699</v>
      </c>
      <c r="B10" s="8" t="inlineStr">
        <is>
          <t>INV-002</t>
        </is>
      </c>
      <c r="C10" s="9" t="inlineStr">
        <is>
          <t>Revenue</t>
        </is>
      </c>
      <c r="D10" s="8" t="inlineStr">
        <is>
          <t>In-Studio Membership</t>
        </is>
      </c>
      <c r="E10" s="8" t="inlineStr">
        <is>
          <t>In-studio membership billing – Q2</t>
        </is>
      </c>
      <c r="F10" s="10" t="n">
        <v>210</v>
      </c>
      <c r="G10" s="11" t="n">
        <v>120</v>
      </c>
      <c r="H10" s="11" t="n">
        <v>25200</v>
      </c>
    </row>
    <row r="11">
      <c r="A11" s="7" t="n">
        <v>45705</v>
      </c>
      <c r="B11" s="8" t="inlineStr">
        <is>
          <t>INV-006</t>
        </is>
      </c>
      <c r="C11" s="9" t="inlineStr">
        <is>
          <t>Revenue</t>
        </is>
      </c>
      <c r="D11" s="8" t="inlineStr">
        <is>
          <t>Drop-In Passes</t>
        </is>
      </c>
      <c r="E11" s="8" t="inlineStr">
        <is>
          <t>Drop-in class passes – Q2</t>
        </is>
      </c>
      <c r="F11" s="10" t="n">
        <v>120</v>
      </c>
      <c r="G11" s="11" t="n">
        <v>18</v>
      </c>
      <c r="H11" s="11" t="n">
        <v>2160</v>
      </c>
    </row>
    <row r="12">
      <c r="A12" s="7" t="n">
        <v>45707</v>
      </c>
      <c r="B12" s="8" t="inlineStr">
        <is>
          <t>INV-010</t>
        </is>
      </c>
      <c r="C12" s="9" t="inlineStr">
        <is>
          <t>Revenue</t>
        </is>
      </c>
      <c r="D12" s="8" t="inlineStr">
        <is>
          <t>Online Subscription</t>
        </is>
      </c>
      <c r="E12" s="8" t="inlineStr">
        <is>
          <t>Online subscription billing – Q2</t>
        </is>
      </c>
      <c r="F12" s="10" t="n">
        <v>130</v>
      </c>
      <c r="G12" s="11" t="n">
        <v>29.99</v>
      </c>
      <c r="H12" s="11" t="n">
        <v>3898.7</v>
      </c>
    </row>
    <row r="13">
      <c r="A13" s="7" t="n">
        <v>45707</v>
      </c>
      <c r="B13" s="8" t="inlineStr">
        <is>
          <t>INV-014</t>
        </is>
      </c>
      <c r="C13" s="9" t="inlineStr">
        <is>
          <t>Revenue</t>
        </is>
      </c>
      <c r="D13" s="8" t="inlineStr">
        <is>
          <t>Corporate Packages</t>
        </is>
      </c>
      <c r="E13" s="8" t="inlineStr">
        <is>
          <t>Corporate wellness package – 2</t>
        </is>
      </c>
      <c r="F13" s="10" t="n">
        <v>3</v>
      </c>
      <c r="G13" s="11" t="n">
        <v>650</v>
      </c>
      <c r="H13" s="11" t="n">
        <v>1950</v>
      </c>
    </row>
    <row r="14">
      <c r="A14" s="7" t="n">
        <v>45725</v>
      </c>
      <c r="B14" s="8" t="inlineStr">
        <is>
          <t>INV-007</t>
        </is>
      </c>
      <c r="C14" s="9" t="inlineStr">
        <is>
          <t>Revenue</t>
        </is>
      </c>
      <c r="D14" s="8" t="inlineStr">
        <is>
          <t>Drop-In Passes</t>
        </is>
      </c>
      <c r="E14" s="8" t="inlineStr">
        <is>
          <t>Drop-in class passes – Q3</t>
        </is>
      </c>
      <c r="F14" s="10" t="n">
        <v>120</v>
      </c>
      <c r="G14" s="11" t="n">
        <v>18</v>
      </c>
      <c r="H14" s="11" t="n">
        <v>2160</v>
      </c>
    </row>
    <row r="15">
      <c r="A15" s="7" t="n">
        <v>45731</v>
      </c>
      <c r="B15" s="8" t="inlineStr">
        <is>
          <t>INV-003</t>
        </is>
      </c>
      <c r="C15" s="9" t="inlineStr">
        <is>
          <t>Revenue</t>
        </is>
      </c>
      <c r="D15" s="8" t="inlineStr">
        <is>
          <t>In-Studio Membership</t>
        </is>
      </c>
      <c r="E15" s="8" t="inlineStr">
        <is>
          <t>In-studio membership billing – Q3</t>
        </is>
      </c>
      <c r="F15" s="10" t="n">
        <v>210</v>
      </c>
      <c r="G15" s="11" t="n">
        <v>120</v>
      </c>
      <c r="H15" s="11" t="n">
        <v>25200</v>
      </c>
    </row>
    <row r="16">
      <c r="A16" s="7" t="n">
        <v>45731</v>
      </c>
      <c r="B16" s="8" t="inlineStr">
        <is>
          <t>INV-011</t>
        </is>
      </c>
      <c r="C16" s="9" t="inlineStr">
        <is>
          <t>Revenue</t>
        </is>
      </c>
      <c r="D16" s="8" t="inlineStr">
        <is>
          <t>Online Subscription</t>
        </is>
      </c>
      <c r="E16" s="8" t="inlineStr">
        <is>
          <t>Online subscription billing – Q3</t>
        </is>
      </c>
      <c r="F16" s="10" t="n">
        <v>130</v>
      </c>
      <c r="G16" s="11" t="n">
        <v>29.99</v>
      </c>
      <c r="H16" s="11" t="n">
        <v>3898.7</v>
      </c>
    </row>
    <row r="17">
      <c r="A17" s="12" t="n">
        <v>45738</v>
      </c>
      <c r="B17" s="13" t="inlineStr">
        <is>
          <t>COST-003</t>
        </is>
      </c>
      <c r="C17" s="14" t="inlineStr">
        <is>
          <t>Cost</t>
        </is>
      </c>
      <c r="D17" s="13" t="inlineStr">
        <is>
          <t>Instructor Pay</t>
        </is>
      </c>
      <c r="E17" s="13" t="inlineStr">
        <is>
          <t>Instructor fees – monthly</t>
        </is>
      </c>
      <c r="F17" s="15" t="n">
        <v>43</v>
      </c>
      <c r="G17" s="16" t="n">
        <v>45</v>
      </c>
      <c r="H17" s="16" t="n">
        <v>1935</v>
      </c>
    </row>
    <row r="18">
      <c r="A18" s="7" t="n">
        <v>45740</v>
      </c>
      <c r="B18" s="8" t="inlineStr">
        <is>
          <t>INV-015</t>
        </is>
      </c>
      <c r="C18" s="9" t="inlineStr">
        <is>
          <t>Revenue</t>
        </is>
      </c>
      <c r="D18" s="8" t="inlineStr">
        <is>
          <t>Corporate Packages</t>
        </is>
      </c>
      <c r="E18" s="8" t="inlineStr">
        <is>
          <t>Corporate wellness package – 3</t>
        </is>
      </c>
      <c r="F18" s="10" t="n">
        <v>3</v>
      </c>
      <c r="G18" s="11" t="n">
        <v>650</v>
      </c>
      <c r="H18" s="11" t="n">
        <v>1950</v>
      </c>
    </row>
    <row r="19">
      <c r="A19" s="7" t="n">
        <v>45754</v>
      </c>
      <c r="B19" s="8" t="inlineStr">
        <is>
          <t>INV-012</t>
        </is>
      </c>
      <c r="C19" s="9" t="inlineStr">
        <is>
          <t>Revenue</t>
        </is>
      </c>
      <c r="D19" s="8" t="inlineStr">
        <is>
          <t>Online Subscription</t>
        </is>
      </c>
      <c r="E19" s="8" t="inlineStr">
        <is>
          <t>Online subscription billing – Q4</t>
        </is>
      </c>
      <c r="F19" s="10" t="n">
        <v>130</v>
      </c>
      <c r="G19" s="11" t="n">
        <v>29.99</v>
      </c>
      <c r="H19" s="11" t="n">
        <v>3898.7</v>
      </c>
    </row>
    <row r="20">
      <c r="A20" s="12" t="n">
        <v>45758</v>
      </c>
      <c r="B20" s="13" t="inlineStr">
        <is>
          <t>COST-004</t>
        </is>
      </c>
      <c r="C20" s="14" t="inlineStr">
        <is>
          <t>Cost</t>
        </is>
      </c>
      <c r="D20" s="13" t="inlineStr">
        <is>
          <t>Instructor Pay</t>
        </is>
      </c>
      <c r="E20" s="13" t="inlineStr">
        <is>
          <t>Instructor fees – monthly</t>
        </is>
      </c>
      <c r="F20" s="15" t="n">
        <v>43</v>
      </c>
      <c r="G20" s="16" t="n">
        <v>45</v>
      </c>
      <c r="H20" s="16" t="n">
        <v>1935</v>
      </c>
    </row>
    <row r="21">
      <c r="A21" s="7" t="n">
        <v>45759</v>
      </c>
      <c r="B21" s="8" t="inlineStr">
        <is>
          <t>INV-004</t>
        </is>
      </c>
      <c r="C21" s="9" t="inlineStr">
        <is>
          <t>Revenue</t>
        </is>
      </c>
      <c r="D21" s="8" t="inlineStr">
        <is>
          <t>In-Studio Membership</t>
        </is>
      </c>
      <c r="E21" s="8" t="inlineStr">
        <is>
          <t>In-studio membership billing – Q4</t>
        </is>
      </c>
      <c r="F21" s="10" t="n">
        <v>210</v>
      </c>
      <c r="G21" s="11" t="n">
        <v>120</v>
      </c>
      <c r="H21" s="11" t="n">
        <v>25200</v>
      </c>
    </row>
    <row r="22">
      <c r="A22" s="7" t="n">
        <v>45770</v>
      </c>
      <c r="B22" s="8" t="inlineStr">
        <is>
          <t>INV-016</t>
        </is>
      </c>
      <c r="C22" s="9" t="inlineStr">
        <is>
          <t>Revenue</t>
        </is>
      </c>
      <c r="D22" s="8" t="inlineStr">
        <is>
          <t>Corporate Packages</t>
        </is>
      </c>
      <c r="E22" s="8" t="inlineStr">
        <is>
          <t>Corporate wellness package – 4</t>
        </is>
      </c>
      <c r="F22" s="10" t="n">
        <v>3</v>
      </c>
      <c r="G22" s="11" t="n">
        <v>650</v>
      </c>
      <c r="H22" s="11" t="n">
        <v>1950</v>
      </c>
    </row>
    <row r="23">
      <c r="A23" s="7" t="n">
        <v>45772</v>
      </c>
      <c r="B23" s="8" t="inlineStr">
        <is>
          <t>INV-008</t>
        </is>
      </c>
      <c r="C23" s="9" t="inlineStr">
        <is>
          <t>Revenue</t>
        </is>
      </c>
      <c r="D23" s="8" t="inlineStr">
        <is>
          <t>Drop-In Passes</t>
        </is>
      </c>
      <c r="E23" s="8" t="inlineStr">
        <is>
          <t>Drop-in class passes – Q4</t>
        </is>
      </c>
      <c r="F23" s="10" t="n">
        <v>120</v>
      </c>
      <c r="G23" s="11" t="n">
        <v>18</v>
      </c>
      <c r="H23" s="11" t="n">
        <v>2160</v>
      </c>
    </row>
    <row r="24">
      <c r="A24" s="12" t="n">
        <v>45798</v>
      </c>
      <c r="B24" s="13" t="inlineStr">
        <is>
          <t>COST-005</t>
        </is>
      </c>
      <c r="C24" s="14" t="inlineStr">
        <is>
          <t>Cost</t>
        </is>
      </c>
      <c r="D24" s="13" t="inlineStr">
        <is>
          <t>Instructor Pay</t>
        </is>
      </c>
      <c r="E24" s="13" t="inlineStr">
        <is>
          <t>Instructor fees – monthly</t>
        </is>
      </c>
      <c r="F24" s="15" t="n">
        <v>43</v>
      </c>
      <c r="G24" s="16" t="n">
        <v>45</v>
      </c>
      <c r="H24" s="16" t="n">
        <v>1935</v>
      </c>
    </row>
    <row r="25">
      <c r="A25" s="12" t="n">
        <v>45821</v>
      </c>
      <c r="B25" s="13" t="inlineStr">
        <is>
          <t>COST-006</t>
        </is>
      </c>
      <c r="C25" s="14" t="inlineStr">
        <is>
          <t>Cost</t>
        </is>
      </c>
      <c r="D25" s="13" t="inlineStr">
        <is>
          <t>Instructor Pay</t>
        </is>
      </c>
      <c r="E25" s="13" t="inlineStr">
        <is>
          <t>Instructor fees – monthly</t>
        </is>
      </c>
      <c r="F25" s="15" t="n">
        <v>43</v>
      </c>
      <c r="G25" s="16" t="n">
        <v>45</v>
      </c>
      <c r="H25" s="16" t="n">
        <v>1935</v>
      </c>
    </row>
    <row r="26">
      <c r="A26" s="12" t="n">
        <v>45847</v>
      </c>
      <c r="B26" s="13" t="inlineStr">
        <is>
          <t>COST-007</t>
        </is>
      </c>
      <c r="C26" s="14" t="inlineStr">
        <is>
          <t>Cost</t>
        </is>
      </c>
      <c r="D26" s="13" t="inlineStr">
        <is>
          <t>Instructor Pay</t>
        </is>
      </c>
      <c r="E26" s="13" t="inlineStr">
        <is>
          <t>Instructor fees – monthly</t>
        </is>
      </c>
      <c r="F26" s="15" t="n">
        <v>43</v>
      </c>
      <c r="G26" s="16" t="n">
        <v>45</v>
      </c>
      <c r="H26" s="16" t="n">
        <v>1935</v>
      </c>
    </row>
    <row r="27">
      <c r="A27" s="12" t="n">
        <v>45885</v>
      </c>
      <c r="B27" s="13" t="inlineStr">
        <is>
          <t>COST-008</t>
        </is>
      </c>
      <c r="C27" s="14" t="inlineStr">
        <is>
          <t>Cost</t>
        </is>
      </c>
      <c r="D27" s="13" t="inlineStr">
        <is>
          <t>Instructor Pay</t>
        </is>
      </c>
      <c r="E27" s="13" t="inlineStr">
        <is>
          <t>Instructor fees – monthly</t>
        </is>
      </c>
      <c r="F27" s="15" t="n">
        <v>43</v>
      </c>
      <c r="G27" s="16" t="n">
        <v>45</v>
      </c>
      <c r="H27" s="16" t="n">
        <v>1935</v>
      </c>
    </row>
    <row r="28">
      <c r="A28" s="12" t="n">
        <v>45907</v>
      </c>
      <c r="B28" s="13" t="inlineStr">
        <is>
          <t>COST-009</t>
        </is>
      </c>
      <c r="C28" s="14" t="inlineStr">
        <is>
          <t>Cost</t>
        </is>
      </c>
      <c r="D28" s="13" t="inlineStr">
        <is>
          <t>Instructor Pay</t>
        </is>
      </c>
      <c r="E28" s="13" t="inlineStr">
        <is>
          <t>Instructor fees – monthly</t>
        </is>
      </c>
      <c r="F28" s="15" t="n">
        <v>43</v>
      </c>
      <c r="G28" s="16" t="n">
        <v>45</v>
      </c>
      <c r="H28" s="16" t="n">
        <v>1935</v>
      </c>
    </row>
    <row r="29">
      <c r="A29" s="12" t="n">
        <v>45942</v>
      </c>
      <c r="B29" s="13" t="inlineStr">
        <is>
          <t>COST-010</t>
        </is>
      </c>
      <c r="C29" s="14" t="inlineStr">
        <is>
          <t>Cost</t>
        </is>
      </c>
      <c r="D29" s="13" t="inlineStr">
        <is>
          <t>Instructor Pay</t>
        </is>
      </c>
      <c r="E29" s="13" t="inlineStr">
        <is>
          <t>Instructor fees – monthly</t>
        </is>
      </c>
      <c r="F29" s="15" t="n">
        <v>43</v>
      </c>
      <c r="G29" s="16" t="n">
        <v>45</v>
      </c>
      <c r="H29" s="16" t="n">
        <v>1935</v>
      </c>
    </row>
    <row r="30">
      <c r="A30" s="12" t="n">
        <v>45977</v>
      </c>
      <c r="B30" s="13" t="inlineStr">
        <is>
          <t>COST-011</t>
        </is>
      </c>
      <c r="C30" s="14" t="inlineStr">
        <is>
          <t>Cost</t>
        </is>
      </c>
      <c r="D30" s="13" t="inlineStr">
        <is>
          <t>Instructor Pay</t>
        </is>
      </c>
      <c r="E30" s="13" t="inlineStr">
        <is>
          <t>Instructor fees – monthly</t>
        </is>
      </c>
      <c r="F30" s="15" t="n">
        <v>43</v>
      </c>
      <c r="G30" s="16" t="n">
        <v>45</v>
      </c>
      <c r="H30" s="16" t="n">
        <v>1935</v>
      </c>
    </row>
    <row r="31">
      <c r="A31" s="12" t="n">
        <v>46005</v>
      </c>
      <c r="B31" s="13" t="inlineStr">
        <is>
          <t>COST-012</t>
        </is>
      </c>
      <c r="C31" s="14" t="inlineStr">
        <is>
          <t>Cost</t>
        </is>
      </c>
      <c r="D31" s="13" t="inlineStr">
        <is>
          <t>Instructor Pay</t>
        </is>
      </c>
      <c r="E31" s="13" t="inlineStr">
        <is>
          <t>Instructor fees – monthly</t>
        </is>
      </c>
      <c r="F31" s="15" t="n">
        <v>43</v>
      </c>
      <c r="G31" s="16" t="n">
        <v>45</v>
      </c>
      <c r="H31" s="16" t="n">
        <v>1935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28" customWidth="1" min="3" max="3"/>
  </cols>
  <sheetData>
    <row r="1" ht="25" customHeight="1">
      <c r="A1" s="1" t="inlineStr">
        <is>
          <t>📊  Reference Table  —  Standard Unit Rates  |  FY 2025</t>
        </is>
      </c>
    </row>
    <row r="2">
      <c r="A2" s="17" t="inlineStr">
        <is>
          <t>Category</t>
        </is>
      </c>
      <c r="B2" s="17" t="inlineStr">
        <is>
          <t>Standard Rate (€)</t>
        </is>
      </c>
      <c r="C2" s="17" t="inlineStr">
        <is>
          <t>Unit / Basis</t>
        </is>
      </c>
    </row>
    <row r="3">
      <c r="A3" s="18" t="inlineStr">
        <is>
          <t>In-Studio Membership</t>
        </is>
      </c>
      <c r="B3" s="11" t="n">
        <v>120</v>
      </c>
      <c r="C3" s="19" t="inlineStr">
        <is>
          <t>per member / month</t>
        </is>
      </c>
    </row>
    <row r="4">
      <c r="A4" s="20" t="inlineStr">
        <is>
          <t>Drop-In Passes</t>
        </is>
      </c>
      <c r="B4" s="11" t="n">
        <v>18</v>
      </c>
      <c r="C4" s="21" t="inlineStr">
        <is>
          <t>per session</t>
        </is>
      </c>
    </row>
    <row r="5">
      <c r="A5" s="18" t="inlineStr">
        <is>
          <t>Online Subscription</t>
        </is>
      </c>
      <c r="B5" s="11" t="n">
        <v>29.99</v>
      </c>
      <c r="C5" s="19" t="inlineStr">
        <is>
          <t>per subscriber / month</t>
        </is>
      </c>
    </row>
    <row r="6">
      <c r="A6" s="20" t="inlineStr">
        <is>
          <t>Corporate Packages</t>
        </is>
      </c>
      <c r="B6" s="11" t="n">
        <v>650</v>
      </c>
      <c r="C6" s="21" t="inlineStr">
        <is>
          <t>per client / month</t>
        </is>
      </c>
    </row>
    <row r="7">
      <c r="A7" s="18" t="inlineStr">
        <is>
          <t>Instructor Pay</t>
        </is>
      </c>
      <c r="B7" s="11" t="n">
        <v>45</v>
      </c>
      <c r="C7" s="19" t="inlineStr">
        <is>
          <t>per class</t>
        </is>
      </c>
    </row>
    <row r="8">
      <c r="A8" s="20" t="inlineStr">
        <is>
          <t>Studio Consumables</t>
        </is>
      </c>
      <c r="B8" s="11" t="n">
        <v>1800</v>
      </c>
      <c r="C8" s="21" t="inlineStr">
        <is>
          <t>annual flat fee</t>
        </is>
      </c>
    </row>
    <row r="9">
      <c r="A9" s="18" t="inlineStr">
        <is>
          <t>Online Hosting</t>
        </is>
      </c>
      <c r="B9" s="11" t="n">
        <v>2400</v>
      </c>
      <c r="C9" s="19" t="inlineStr">
        <is>
          <t>annual flat fee</t>
        </is>
      </c>
    </row>
    <row r="11">
      <c r="A11" s="22" t="inlineStr">
        <is>
          <t>💡  Use VLOOKUP to pull rates from this table into the P&amp;L:  =VLOOKUP("Category Name", Reference!A:C, 2, FALSE)</t>
        </is>
      </c>
    </row>
  </sheetData>
  <mergeCells count="2">
    <mergeCell ref="A1:C1"/>
    <mergeCell ref="A11:C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22" customWidth="1" min="3" max="3"/>
    <col width="52" customWidth="1" min="4" max="4"/>
  </cols>
  <sheetData>
    <row r="1" ht="28" customHeight="1">
      <c r="A1" s="23" t="inlineStr">
        <is>
          <t>🏷️  Fixed Costs  —  Monthly Unit Values  |  Name These Cells Before Using Them in the P&amp;L</t>
        </is>
      </c>
    </row>
    <row r="2" ht="48" customHeight="1">
      <c r="A2" s="24" t="inlineStr">
        <is>
          <t>📌  CELL NAMING:  Instead of referencing a cell by its address (like B5), you can give it a meaningful name — then use that name in any formula. This makes your formulas readable and prevents errors when rows are inserted or deleted.</t>
        </is>
      </c>
    </row>
    <row r="3" ht="60" customHeight="1">
      <c r="A3" s="25" t="inlineStr">
        <is>
          <t>HOW TO NAME A CELL:  ① Click the cell you want to name (e.g. B6)  →  ② Click the Name Box (top-left corner, shows the cell address e.g. 'B6')  →  ③ Type the suggested name (e.g. Salaries_Mo)  →  ④ Press Enter to confirm.
Then in the P&amp;L sheet you can write:  =Salaries_Mo * 12  instead of  ='Fixed Costs'!B6 * 12</t>
        </is>
      </c>
    </row>
    <row r="4">
      <c r="A4" s="17" t="inlineStr">
        <is>
          <t>Cost Item</t>
        </is>
      </c>
      <c r="B4" s="17" t="inlineStr">
        <is>
          <t>Monthly Cost (€)</t>
        </is>
      </c>
      <c r="C4" s="17" t="inlineStr">
        <is>
          <t>Suggested Cell Name</t>
        </is>
      </c>
      <c r="D4" s="17" t="inlineStr">
        <is>
          <t>Your Task</t>
        </is>
      </c>
    </row>
    <row r="5" ht="42" customHeight="1">
      <c r="A5" s="20" t="inlineStr">
        <is>
          <t>Salaries (founders + admin)</t>
        </is>
      </c>
      <c r="B5" s="11" t="n">
        <v>7800</v>
      </c>
      <c r="C5" s="26" t="inlineStr">
        <is>
          <t>Salaries_Mo</t>
        </is>
      </c>
      <c r="D5" s="27" t="inlineStr">
        <is>
          <t>① Click cell B5  →  ② Click the Name Box (shows 'B5')  →  ③ Type 'Salaries_Mo'  →  ④ Press Enter.
Then in the P&amp;L, reference it as:  =Salaries_Mo * 12</t>
        </is>
      </c>
    </row>
    <row r="6" ht="42" customHeight="1">
      <c r="A6" s="13" t="inlineStr">
        <is>
          <t>Studio rent (Munich)</t>
        </is>
      </c>
      <c r="B6" s="11" t="n">
        <v>2800</v>
      </c>
      <c r="C6" s="26" t="inlineStr">
        <is>
          <t>StudioRent_Mo</t>
        </is>
      </c>
      <c r="D6" s="28" t="inlineStr">
        <is>
          <t>① Click cell B6  →  ② Click the Name Box (shows 'B6')  →  ③ Type 'StudioRent_Mo'  →  ④ Press Enter.
Then in the P&amp;L, reference it as:  =StudioRent_Mo * 12</t>
        </is>
      </c>
    </row>
    <row r="7" ht="42" customHeight="1">
      <c r="A7" s="20" t="inlineStr">
        <is>
          <t>Insurance &amp; licences</t>
        </is>
      </c>
      <c r="B7" s="11" t="n">
        <v>350</v>
      </c>
      <c r="C7" s="26" t="inlineStr">
        <is>
          <t>InsuranceLicences_Mo</t>
        </is>
      </c>
      <c r="D7" s="27" t="inlineStr">
        <is>
          <t>① Click cell B7  →  ② Click the Name Box (shows 'B7')  →  ③ Type 'InsuranceLicences_Mo'  →  ④ Press Enter.
Then in the P&amp;L, reference it as:  =InsuranceLicences_Mo * 12</t>
        </is>
      </c>
    </row>
    <row r="8" ht="42" customHeight="1">
      <c r="A8" s="13" t="inlineStr">
        <is>
          <t>Marketing &amp; events</t>
        </is>
      </c>
      <c r="B8" s="11" t="n">
        <v>500</v>
      </c>
      <c r="C8" s="26" t="inlineStr">
        <is>
          <t>MarketingEvents_Mo</t>
        </is>
      </c>
      <c r="D8" s="28" t="inlineStr">
        <is>
          <t>① Click cell B8  →  ② Click the Name Box (shows 'B8')  →  ③ Type 'MarketingEvents_Mo'  →  ④ Press Enter.
Then in the P&amp;L, reference it as:  =MarketingEvents_Mo * 12</t>
        </is>
      </c>
    </row>
    <row r="10" ht="42" customHeight="1">
      <c r="A10" s="29" t="inlineStr">
        <is>
          <t>✅  Once you have named all cells above, go to the P&amp;L sheet and write the fixed cost formulas using the cell names — e.g. =Salaries_Mo * 12. You can verify your names under Formulas → Name Manager.</t>
        </is>
      </c>
    </row>
  </sheetData>
  <mergeCells count="4">
    <mergeCell ref="A1:D1"/>
    <mergeCell ref="A10:D10"/>
    <mergeCell ref="A3:D3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56" customWidth="1" min="2" max="2"/>
    <col width="18" customWidth="1" min="3" max="3"/>
    <col width="6" customWidth="1" min="4" max="4"/>
  </cols>
  <sheetData>
    <row r="1" ht="30" customHeight="1">
      <c r="A1" s="30" t="inlineStr">
        <is>
          <t xml:space="preserve">  Zenith Wellness 🧘  |  P&amp;L Financial Model  |  FY 2025  (Build from Raw Data)</t>
        </is>
      </c>
    </row>
    <row r="2" ht="20" customHeight="1">
      <c r="A2" s="31" t="inlineStr">
        <is>
          <t>Line Item</t>
        </is>
      </c>
      <c r="B2" s="32" t="inlineStr">
        <is>
          <t>What your formula should do  (translate this into Excel)</t>
        </is>
      </c>
      <c r="C2" s="33" t="inlineStr">
        <is>
          <t>Your Formula →</t>
        </is>
      </c>
      <c r="D2" s="20" t="inlineStr"/>
    </row>
    <row r="3">
      <c r="A3" s="34" t="inlineStr">
        <is>
          <t xml:space="preserve">  1.  REVENUE</t>
        </is>
      </c>
    </row>
    <row r="4" ht="32" customHeight="1">
      <c r="A4" s="20" t="inlineStr">
        <is>
          <t xml:space="preserve">    In-Studio Membership</t>
        </is>
      </c>
      <c r="B4" s="35" t="inlineStr">
        <is>
          <t>In the Raw Data sheet, find every row where the Category column says "In-Studio Membership" and add up all the values in the Total column</t>
        </is>
      </c>
      <c r="C4" s="36" t="n"/>
      <c r="D4" s="37" t="inlineStr">
        <is>
          <t>€</t>
        </is>
      </c>
    </row>
    <row r="5" ht="32" customHeight="1">
      <c r="A5" s="20" t="inlineStr">
        <is>
          <t xml:space="preserve">    Drop-In Passes</t>
        </is>
      </c>
      <c r="B5" s="35" t="inlineStr">
        <is>
          <t>In the Raw Data sheet, find every row where the Category column says "Drop-In Passes" and add up all the values in the Total column</t>
        </is>
      </c>
      <c r="C5" s="36" t="n"/>
      <c r="D5" s="37" t="inlineStr">
        <is>
          <t>€</t>
        </is>
      </c>
    </row>
    <row r="6" ht="32" customHeight="1">
      <c r="A6" s="20" t="inlineStr">
        <is>
          <t xml:space="preserve">    Online Subscription</t>
        </is>
      </c>
      <c r="B6" s="35" t="inlineStr">
        <is>
          <t>In the Raw Data sheet, find every row where the Category column says "Online Subscription" and add up all the values in the Total column</t>
        </is>
      </c>
      <c r="C6" s="36" t="n"/>
      <c r="D6" s="37" t="inlineStr">
        <is>
          <t>€</t>
        </is>
      </c>
    </row>
    <row r="7" ht="32" customHeight="1">
      <c r="A7" s="20" t="inlineStr">
        <is>
          <t xml:space="preserve">    Corporate Packages</t>
        </is>
      </c>
      <c r="B7" s="35" t="inlineStr">
        <is>
          <t>In the Raw Data sheet, find every row where the Category column says "Corporate Packages" and add up all the values in the Total column</t>
        </is>
      </c>
      <c r="C7" s="36" t="n"/>
      <c r="D7" s="37" t="inlineStr">
        <is>
          <t>€</t>
        </is>
      </c>
    </row>
    <row r="8">
      <c r="A8" s="38" t="inlineStr">
        <is>
          <t xml:space="preserve">    TOTAL REVENUE</t>
        </is>
      </c>
      <c r="B8" s="35" t="inlineStr">
        <is>
          <t>Add up all revenue lines above — this cell is already written for you</t>
        </is>
      </c>
      <c r="C8" s="39">
        <f>SUM(C4:C7)</f>
        <v/>
      </c>
      <c r="D8" s="37" t="inlineStr">
        <is>
          <t>€</t>
        </is>
      </c>
    </row>
    <row r="9">
      <c r="A9" s="34" t="inlineStr">
        <is>
          <t xml:space="preserve">  2.  COST OF GOODS SOLD  (Variable Costs)</t>
        </is>
      </c>
    </row>
    <row r="10" ht="32" customHeight="1">
      <c r="A10" s="20" t="inlineStr">
        <is>
          <t xml:space="preserve">    Instructor Pay</t>
        </is>
      </c>
      <c r="B10" s="35" t="inlineStr">
        <is>
          <t>In the Raw Data sheet, find every row where the Category column says "Instructor Pay" and add up all the values in the Total column</t>
        </is>
      </c>
      <c r="C10" s="36" t="n"/>
      <c r="D10" s="37" t="inlineStr">
        <is>
          <t>€</t>
        </is>
      </c>
    </row>
    <row r="11" ht="32" customHeight="1">
      <c r="A11" s="20" t="inlineStr">
        <is>
          <t xml:space="preserve">    Studio Consumables</t>
        </is>
      </c>
      <c r="B11" s="35" t="inlineStr">
        <is>
          <t>In the Raw Data sheet, find every row where the Category column says "Studio Consumables" and add up all the values in the Total column</t>
        </is>
      </c>
      <c r="C11" s="36" t="n"/>
      <c r="D11" s="37" t="inlineStr">
        <is>
          <t>€</t>
        </is>
      </c>
    </row>
    <row r="12" ht="32" customHeight="1">
      <c r="A12" s="20" t="inlineStr">
        <is>
          <t xml:space="preserve">    Online Hosting</t>
        </is>
      </c>
      <c r="B12" s="35" t="inlineStr">
        <is>
          <t>In the Raw Data sheet, find every row where the Category column says "Online Hosting" and add up all the values in the Total column</t>
        </is>
      </c>
      <c r="C12" s="36" t="n"/>
      <c r="D12" s="37" t="inlineStr">
        <is>
          <t>€</t>
        </is>
      </c>
    </row>
    <row r="13">
      <c r="A13" s="38" t="inlineStr">
        <is>
          <t xml:space="preserve">    TOTAL COGS</t>
        </is>
      </c>
      <c r="B13" s="35" t="inlineStr">
        <is>
          <t>Add up all cost lines above — already written</t>
        </is>
      </c>
      <c r="C13" s="39">
        <f>SUM(C10:C12)</f>
        <v/>
      </c>
      <c r="D13" s="37" t="inlineStr">
        <is>
          <t>€</t>
        </is>
      </c>
    </row>
    <row r="14">
      <c r="A14" s="34" t="inlineStr">
        <is>
          <t xml:space="preserve">  3.  GROSS PROFIT</t>
        </is>
      </c>
    </row>
    <row r="15">
      <c r="A15" s="20" t="inlineStr">
        <is>
          <t xml:space="preserve">    Gross Profit</t>
        </is>
      </c>
      <c r="B15" s="35" t="inlineStr">
        <is>
          <t>Subtract Total COGS from Total Revenue</t>
        </is>
      </c>
      <c r="C15" s="36" t="n"/>
      <c r="D15" s="37" t="inlineStr">
        <is>
          <t>€</t>
        </is>
      </c>
    </row>
    <row r="16" ht="32" customHeight="1">
      <c r="A16" s="20" t="inlineStr">
        <is>
          <t xml:space="preserve">    Gross Margin %</t>
        </is>
      </c>
      <c r="B16" s="35" t="inlineStr">
        <is>
          <t>Divide Gross Profit by Total Revenue — then format this cell as a percentage</t>
        </is>
      </c>
      <c r="C16" s="36" t="n"/>
      <c r="D16" s="37" t="inlineStr">
        <is>
          <t>%</t>
        </is>
      </c>
    </row>
    <row r="17">
      <c r="A17" s="40" t="inlineStr">
        <is>
          <t xml:space="preserve">  🔍  VLOOKUP Check  —  Look Up Standard Rates from the Reference Sheet</t>
        </is>
      </c>
    </row>
    <row r="18" ht="40" customHeight="1">
      <c r="A18" s="20" t="inlineStr">
        <is>
          <t xml:space="preserve">    Standard rate for "In-Studio Membership"</t>
        </is>
      </c>
      <c r="B18" s="35" t="inlineStr">
        <is>
          <t>Go to the Reference sheet and find the row for "In-Studio Membership". Write a formula that looks it up by name and returns the value in the Standard Rate column</t>
        </is>
      </c>
      <c r="C18" s="36" t="n"/>
      <c r="D18" s="37" t="inlineStr">
        <is>
          <t>€</t>
        </is>
      </c>
    </row>
    <row r="19" ht="32" customHeight="1">
      <c r="A19" s="20" t="inlineStr">
        <is>
          <t xml:space="preserve">    Standard rate for "Instructor Pay"</t>
        </is>
      </c>
      <c r="B19" s="35" t="inlineStr">
        <is>
          <t>Same as above — look up "Instructor Pay" in the Reference sheet and return its standard rate</t>
        </is>
      </c>
      <c r="C19" s="36" t="n"/>
      <c r="D19" s="37" t="inlineStr">
        <is>
          <t>€</t>
        </is>
      </c>
    </row>
    <row r="20">
      <c r="A20" s="34" t="inlineStr">
        <is>
          <t xml:space="preserve">  4.  FIXED &amp; OPERATING COSTS  —  Reference Named Cells from the Fixed Costs Sheet</t>
        </is>
      </c>
    </row>
    <row r="21" ht="36" customHeight="1">
      <c r="A21" s="24" t="inlineStr">
        <is>
          <t>⚠️  Before writing these formulas: go to the Fixed Costs sheet and name each monthly cost cell using the suggested cell names. Then come back here and reference them by name.</t>
        </is>
      </c>
    </row>
    <row r="22" ht="32" customHeight="1">
      <c r="A22" s="20" t="inlineStr">
        <is>
          <t xml:space="preserve">    Salaries (founders + admin)  [per month × 12]</t>
        </is>
      </c>
      <c r="B22" s="35" t="inlineStr">
        <is>
          <t>Reference the cell named "Salaries_Mo" from the Fixed Costs sheet and multiply it by 12 to get the annual cost</t>
        </is>
      </c>
      <c r="C22" s="36" t="n"/>
      <c r="D22" s="37" t="inlineStr">
        <is>
          <t>€</t>
        </is>
      </c>
    </row>
    <row r="23" ht="32" customHeight="1">
      <c r="A23" s="20" t="inlineStr">
        <is>
          <t xml:space="preserve">    Studio rent (Munich)  [per month × 12]</t>
        </is>
      </c>
      <c r="B23" s="35" t="inlineStr">
        <is>
          <t>Reference the cell named "StudioRent_Mo" from the Fixed Costs sheet and multiply it by 12 to get the annual cost</t>
        </is>
      </c>
      <c r="C23" s="36" t="n"/>
      <c r="D23" s="37" t="inlineStr">
        <is>
          <t>€</t>
        </is>
      </c>
    </row>
    <row r="24" ht="32" customHeight="1">
      <c r="A24" s="20" t="inlineStr">
        <is>
          <t xml:space="preserve">    Insurance &amp; licences  [per month × 12]</t>
        </is>
      </c>
      <c r="B24" s="35" t="inlineStr">
        <is>
          <t>Reference the cell named "InsuranceLicences_Mo" from the Fixed Costs sheet and multiply it by 12 to get the annual cost</t>
        </is>
      </c>
      <c r="C24" s="36" t="n"/>
      <c r="D24" s="37" t="inlineStr">
        <is>
          <t>€</t>
        </is>
      </c>
    </row>
    <row r="25" ht="32" customHeight="1">
      <c r="A25" s="20" t="inlineStr">
        <is>
          <t xml:space="preserve">    Marketing &amp; events  [per month × 12]</t>
        </is>
      </c>
      <c r="B25" s="35" t="inlineStr">
        <is>
          <t>Reference the cell named "MarketingEvents_Mo" from the Fixed Costs sheet and multiply it by 12 to get the annual cost</t>
        </is>
      </c>
      <c r="C25" s="36" t="n"/>
      <c r="D25" s="37" t="inlineStr">
        <is>
          <t>€</t>
        </is>
      </c>
    </row>
    <row r="26">
      <c r="A26" s="38" t="inlineStr">
        <is>
          <t xml:space="preserve">    TOTAL FIXED COSTS</t>
        </is>
      </c>
      <c r="B26" s="35" t="inlineStr">
        <is>
          <t>Add up all fixed cost lines above — already written</t>
        </is>
      </c>
      <c r="C26" s="39">
        <f>SUM(C22:C25)</f>
        <v/>
      </c>
      <c r="D26" s="37" t="inlineStr">
        <is>
          <t>€</t>
        </is>
      </c>
    </row>
    <row r="27">
      <c r="A27" s="34" t="inlineStr">
        <is>
          <t xml:space="preserve">  5.  OPERATING PROFIT (EBIT)</t>
        </is>
      </c>
    </row>
    <row r="28">
      <c r="A28" s="20" t="inlineStr">
        <is>
          <t xml:space="preserve">    Operating Profit / EBIT</t>
        </is>
      </c>
      <c r="B28" s="35" t="inlineStr">
        <is>
          <t>Subtract Total Fixed Costs from Gross Profit</t>
        </is>
      </c>
      <c r="C28" s="36" t="n"/>
      <c r="D28" s="37" t="inlineStr">
        <is>
          <t>€</t>
        </is>
      </c>
    </row>
    <row r="29">
      <c r="A29" s="34" t="inlineStr">
        <is>
          <t xml:space="preserve">  6.  IF / IFS  —  Business Logic Flags</t>
        </is>
      </c>
    </row>
    <row r="30" ht="40" customHeight="1">
      <c r="A30" s="20" t="inlineStr">
        <is>
          <t xml:space="preserve">    Business Status</t>
        </is>
      </c>
      <c r="B30" s="35" t="inlineStr">
        <is>
          <t>Check whether EBIT (the cell directly above) is greater than zero. If it is, show the text '✅ Profitable'. If it is not, show '❌ Loss'.</t>
        </is>
      </c>
      <c r="C30" s="36" t="n"/>
      <c r="D30" s="21" t="inlineStr"/>
    </row>
    <row r="31" ht="48" customHeight="1">
      <c r="A31" s="20" t="inlineStr">
        <is>
          <t xml:space="preserve">    Margin Status</t>
        </is>
      </c>
      <c r="B31" s="35" t="inlineStr">
        <is>
          <t>Check the Gross Margin % (row 16). If it is above 50% show 'High margin', if it is above 30% show 'Moderate', otherwise show 'Low margin'. Use IFS for multiple conditions.</t>
        </is>
      </c>
      <c r="C31" s="36" t="n"/>
      <c r="D31" s="21" t="inlineStr"/>
    </row>
    <row r="33" ht="40" customHeight="1">
      <c r="A33" s="41" t="inlineStr">
        <is>
          <t>📌  Wellness studio — memberships + drop-in + online subs + corporate packages.</t>
        </is>
      </c>
    </row>
  </sheetData>
  <mergeCells count="10">
    <mergeCell ref="A1:D1"/>
    <mergeCell ref="A17:D17"/>
    <mergeCell ref="A9:D9"/>
    <mergeCell ref="A27:D27"/>
    <mergeCell ref="A3:D3"/>
    <mergeCell ref="A20:D20"/>
    <mergeCell ref="A21:D21"/>
    <mergeCell ref="A29:D29"/>
    <mergeCell ref="A33:D33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2026-05-28T22:31:47Z</dcterms:created>
  <dcterms:modified xmlns:dcterms="http://purl.org/dc/terms/" xmlns:xsi="http://www.w3.org/2001/XMLSchema-instance" xsi:type="dcterms:W3CDTF">2026-05-28T22:31:47Z</dcterms:modified>
</cp:coreProperties>
</file>