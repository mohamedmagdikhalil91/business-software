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64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rgb="FFFFFFFF"/>
      <sz val="13"/>
    </font>
    <font>
      <name val="Arial"/>
      <family val="2"/>
      <color rgb="FF2D2D2D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11"/>
    </font>
    <font>
      <name val="Arial"/>
      <family val="2"/>
      <b val="1"/>
      <color rgb="FF1565C0"/>
      <sz val="10"/>
    </font>
    <font>
      <name val="Arial"/>
      <family val="2"/>
      <i val="1"/>
      <color rgb="FF888888"/>
      <sz val="9"/>
    </font>
    <font>
      <name val="Arial"/>
      <family val="2"/>
      <b val="1"/>
      <color rgb="FF2D2D2D"/>
      <sz val="10"/>
    </font>
    <font>
      <name val="Arial"/>
      <family val="2"/>
      <i val="1"/>
      <color rgb="FF888888"/>
      <sz val="10"/>
    </font>
    <font>
      <name val="Arial"/>
      <family val="2"/>
      <b val="1"/>
      <color rgb="FF1B5E20"/>
      <sz val="12"/>
    </font>
    <font>
      <name val="Calibri"/>
      <family val="2"/>
      <sz val="12"/>
    </font>
    <font>
      <name val="Arial"/>
      <family val="2"/>
      <color rgb="FF2D2D2D"/>
      <sz val="12"/>
    </font>
    <font>
      <name val="Arial"/>
      <b val="1"/>
      <color rgb="FF1B5E20"/>
      <sz val="12"/>
    </font>
    <font>
      <name val="Calibri"/>
      <color theme="1"/>
      <sz val="12"/>
    </font>
    <font>
      <name val="Arial"/>
      <color rgb="FF2D2D2D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2D2D2D"/>
      </patternFill>
    </fill>
    <fill>
      <patternFill patternType="solid">
        <fgColor rgb="FFFFF9C4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B5" sqref="B5"/>
    </sheetView>
  </sheetViews>
  <sheetFormatPr baseColWidth="10" defaultColWidth="8.83203125" defaultRowHeight="15"/>
  <cols>
    <col width="21.42857142857143" bestFit="1" customWidth="1" style="14" min="1" max="1"/>
    <col width="107.1428571428571" bestFit="1" customWidth="1" style="14" min="2" max="2"/>
  </cols>
  <sheetData>
    <row r="1" ht="40" customHeight="1" s="14">
      <c r="A1" s="16" t="inlineStr">
        <is>
          <t xml:space="preserve">  Green Threads 👕 — Financial Model  |  Business Software Course · SRH Hochschule</t>
        </is>
      </c>
    </row>
    <row r="2" ht="22" customHeight="1" s="14">
      <c r="A2" s="21" t="inlineStr">
        <is>
          <t xml:space="preserve">  How to use this template</t>
        </is>
      </c>
      <c r="B2" s="22" t="n"/>
    </row>
    <row r="3" ht="16" customHeight="1" s="14">
      <c r="A3" s="22" t="n"/>
      <c r="B3" s="22" t="n"/>
    </row>
    <row r="4" ht="18" customHeight="1" s="14">
      <c r="A4" s="23" t="n"/>
      <c r="B4" s="22" t="n"/>
    </row>
    <row r="5" ht="18" customHeight="1" s="14">
      <c r="A5" s="21" t="inlineStr">
        <is>
          <t xml:space="preserve">  🟦  BLUE cells</t>
        </is>
      </c>
      <c r="B5" s="24" t="inlineStr">
        <is>
          <t>Pre-filled input values — these are given to you. Do not change them.</t>
        </is>
      </c>
    </row>
    <row r="6" ht="18" customHeight="1" s="14">
      <c r="A6" s="21" t="inlineStr">
        <is>
          <t xml:space="preserve">  🟨  YELLOW cells</t>
        </is>
      </c>
      <c r="B6" s="24" t="inlineStr">
        <is>
          <t>Your task — write the correct Excel formula in each yellow cell. Each cell shows a hint describing what to calculate.</t>
        </is>
      </c>
    </row>
    <row r="7" ht="18" customHeight="1" s="14">
      <c r="A7" s="21" t="inlineStr">
        <is>
          <t xml:space="preserve">  🟩  GREEN cells</t>
        </is>
      </c>
      <c r="B7" s="24" t="inlineStr">
        <is>
          <t>Auto-calculated results — formulas are already written. They update automatically once you fill in the yellow cells.</t>
        </is>
      </c>
    </row>
    <row r="8" ht="18" customHeight="1" s="14">
      <c r="A8" s="23" t="n"/>
      <c r="B8" s="22" t="n"/>
    </row>
    <row r="9" ht="18" customHeight="1" s="14">
      <c r="A9" s="21" t="inlineStr">
        <is>
          <t xml:space="preserve">  Step 1</t>
        </is>
      </c>
      <c r="B9" s="24" t="inlineStr">
        <is>
          <t>Open the 'Financial Model' tab (second sheet at the bottom of the screen).</t>
        </is>
      </c>
    </row>
    <row r="10" ht="18" customHeight="1" s="14">
      <c r="A10" s="21" t="inlineStr">
        <is>
          <t xml:space="preserve">  Step 2</t>
        </is>
      </c>
      <c r="B10" s="24" t="inlineStr">
        <is>
          <t>Read row 3 — it explains the colour coding. Blue = given input, Yellow = write your formula, Green = auto-calculated result.</t>
        </is>
      </c>
    </row>
    <row r="11" ht="18" customHeight="1" s="14">
      <c r="A11" s="21" t="inlineStr">
        <is>
          <t xml:space="preserve">  Step 3</t>
        </is>
      </c>
      <c r="B11" s="24" t="inlineStr">
        <is>
          <t>Start with the REVENUE section (rows 5–9). Each yellow cell in column D shows a hint (e.g. '= Qty × Price'). Write the formula using the values in columns B and C on the same row.</t>
        </is>
      </c>
    </row>
    <row r="12" ht="18" customHeight="1" s="14">
      <c r="A12" s="21" t="inlineStr">
        <is>
          <t xml:space="preserve">  Step 4</t>
        </is>
      </c>
      <c r="B12" s="24" t="inlineStr">
        <is>
          <t>Repeat for COST OF GOODS SOLD (rows 12–15) and FIXED COSTS (rows 22–26). The hints in each yellow cell tell you exactly what to calculate.</t>
        </is>
      </c>
    </row>
    <row r="13" ht="18" customHeight="1" s="14">
      <c r="A13" s="21" t="inlineStr">
        <is>
          <t xml:space="preserve">  Step 5</t>
        </is>
      </c>
      <c r="B13" s="24" t="inlineStr">
        <is>
          <t>Check your results: does the Operating Profit look reasonable for this company? Compare it to the financial snapshot on your company portfolio page.</t>
        </is>
      </c>
    </row>
    <row r="14" ht="18" customHeight="1" s="14">
      <c r="A14" s="23" t="n"/>
      <c r="B14" s="22" t="n"/>
    </row>
    <row r="15" ht="18" customHeight="1" s="14">
      <c r="A15" s="23" t="inlineStr">
        <is>
          <t xml:space="preserve">  Tip</t>
        </is>
      </c>
      <c r="B15" s="24" t="inlineStr">
        <is>
          <t>A hint like '= Qty × Price' means: multiply the value in column B by column C on the same row. For row 5, that means typing =B5*C5 in cell D5.</t>
        </is>
      </c>
    </row>
    <row r="16" ht="18" customHeight="1" s="14">
      <c r="A16" s="23" t="inlineStr">
        <is>
          <t xml:space="preserve">  Tip</t>
        </is>
      </c>
      <c r="B16" s="24" t="inlineStr">
        <is>
          <t>TOTAL rows (e.g. TOTAL REVENUE, TOTAL COGS) already have SUM formulas written in green — do not click into or overwrite them.</t>
        </is>
      </c>
    </row>
    <row r="17" ht="18" customHeight="1" s="14">
      <c r="A17" s="23" t="inlineStr">
        <is>
          <t xml:space="preserve">  Tip</t>
        </is>
      </c>
      <c r="B17" s="24" t="inlineStr">
        <is>
          <t>If a hint says '= C × 12', the rate in column C is a monthly figure. Multiply by 12 to get the annual amount — e.g. =C22*12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D20" sqref="D20"/>
    </sheetView>
  </sheetViews>
  <sheetFormatPr baseColWidth="10" defaultColWidth="8.83203125" defaultRowHeight="15"/>
  <cols>
    <col width="50.6640625" bestFit="1" customWidth="1" style="14" min="1" max="1"/>
    <col width="18" customWidth="1" style="14" min="2" max="4"/>
    <col width="8" customWidth="1" style="14" min="5" max="5"/>
  </cols>
  <sheetData>
    <row r="1" ht="32" customHeight="1" s="14">
      <c r="A1" s="15" t="inlineStr">
        <is>
          <t xml:space="preserve">  Green Threads 👕  |  Simplified P&amp;L Financial Model  |  FY 2025 (Projected)</t>
        </is>
      </c>
    </row>
    <row r="2" ht="22" customHeight="1" s="14">
      <c r="A2" s="1" t="inlineStr">
        <is>
          <t>Line Item</t>
        </is>
      </c>
      <c r="B2" s="1" t="inlineStr">
        <is>
          <t>Quantity / Driver</t>
        </is>
      </c>
      <c r="C2" s="1" t="inlineStr">
        <is>
          <t>Unit Rate / Price</t>
        </is>
      </c>
      <c r="D2" s="1" t="inlineStr">
        <is>
          <t>Amount (€)</t>
        </is>
      </c>
      <c r="E2" s="1" t="n"/>
    </row>
    <row r="3" ht="18" customHeight="1" s="14">
      <c r="A3" s="13" t="inlineStr">
        <is>
          <t xml:space="preserve">  🟦 Blue = given input  |  🟨 Yellow = write your formula here  |  🟩 Green = calculated result</t>
        </is>
      </c>
    </row>
    <row r="4">
      <c r="A4" s="10" t="inlineStr">
        <is>
          <t xml:space="preserve">  1.  REVENUE</t>
        </is>
      </c>
      <c r="B4" s="11" t="n"/>
      <c r="C4" s="11" t="n"/>
      <c r="D4" s="11" t="n"/>
      <c r="E4" s="12" t="n"/>
    </row>
    <row r="5">
      <c r="A5" s="2" t="inlineStr">
        <is>
          <t xml:space="preserve">    Organic T-Shirts (D2C online)  [Units sold × Selling Price (€)]</t>
        </is>
      </c>
      <c r="B5" s="3" t="n">
        <v>620</v>
      </c>
      <c r="C5" s="3" t="n">
        <v>34.99</v>
      </c>
      <c r="D5" s="4">
        <f>Qty * Price</f>
        <v/>
      </c>
      <c r="E5" s="5" t="inlineStr">
        <is>
          <t>€</t>
        </is>
      </c>
    </row>
    <row r="6">
      <c r="A6" s="2" t="inlineStr">
        <is>
          <t xml:space="preserve">    Upcycled Hoodies (D2C online)  [Units sold × Selling Price (€)]</t>
        </is>
      </c>
      <c r="B6" s="3" t="n">
        <v>280</v>
      </c>
      <c r="C6" s="3" t="n">
        <v>64.98999999999999</v>
      </c>
      <c r="D6" s="4">
        <f>Qty * Price</f>
        <v/>
      </c>
      <c r="E6" s="5" t="inlineStr">
        <is>
          <t>€</t>
        </is>
      </c>
    </row>
    <row r="7">
      <c r="A7" s="2" t="inlineStr">
        <is>
          <t xml:space="preserve">    Organic Caps  [Units sold × Selling Price (€)]</t>
        </is>
      </c>
      <c r="B7" s="3" t="n">
        <v>190</v>
      </c>
      <c r="C7" s="3" t="n">
        <v>22.99</v>
      </c>
      <c r="D7" s="4">
        <f>Qty * Price</f>
        <v/>
      </c>
      <c r="E7" s="5" t="inlineStr">
        <is>
          <t>€</t>
        </is>
      </c>
    </row>
    <row r="8">
      <c r="A8" s="2" t="inlineStr">
        <is>
          <t xml:space="preserve">    B2B Merchandise Orders  [Orders/year × Avg. Order Value (€)]</t>
        </is>
      </c>
      <c r="B8" s="3" t="n">
        <v>8</v>
      </c>
      <c r="C8" s="3" t="n">
        <v>1800</v>
      </c>
      <c r="D8" s="4">
        <f>Qty * Price</f>
        <v/>
      </c>
      <c r="E8" s="5" t="inlineStr">
        <is>
          <t>€</t>
        </is>
      </c>
    </row>
    <row r="9">
      <c r="A9" s="6" t="inlineStr">
        <is>
          <t xml:space="preserve">    TOTAL REVENUE</t>
        </is>
      </c>
      <c r="B9" s="7" t="n"/>
      <c r="C9" s="7" t="n"/>
      <c r="D9" s="4">
        <f>SUM(D5:D8)</f>
        <v/>
      </c>
      <c r="E9" s="8" t="inlineStr">
        <is>
          <t>€</t>
        </is>
      </c>
    </row>
    <row r="10" ht="8" customHeight="1" s="14"/>
    <row r="11">
      <c r="A11" s="10" t="inlineStr">
        <is>
          <t xml:space="preserve">  2.  COST OF GOODS SOLD  (Variable Costs)</t>
        </is>
      </c>
      <c r="B11" s="11" t="n"/>
      <c r="C11" s="11" t="n"/>
      <c r="D11" s="11" t="n"/>
      <c r="E11" s="12" t="n"/>
    </row>
    <row r="12">
      <c r="A12" s="2" t="inlineStr">
        <is>
          <t xml:space="preserve">    Fabric &amp; materials per unit (avg)</t>
        </is>
      </c>
      <c r="B12" s="9" t="inlineStr">
        <is>
          <t>See units above</t>
        </is>
      </c>
      <c r="C12" s="3" t="n">
        <v>9.5</v>
      </c>
      <c r="D12" s="4">
        <f>Qty * Rate</f>
        <v/>
      </c>
      <c r="E12" s="5" t="inlineStr">
        <is>
          <t>€</t>
        </is>
      </c>
    </row>
    <row r="13">
      <c r="A13" s="2" t="inlineStr">
        <is>
          <t xml:space="preserve">    Production labour per unit (avg)</t>
        </is>
      </c>
      <c r="B13" s="9" t="inlineStr">
        <is>
          <t>See units above</t>
        </is>
      </c>
      <c r="C13" s="3" t="n">
        <v>6.2</v>
      </c>
      <c r="D13" s="4">
        <f>Qty * Rate</f>
        <v/>
      </c>
      <c r="E13" s="5" t="inlineStr">
        <is>
          <t>€</t>
        </is>
      </c>
    </row>
    <row r="14">
      <c r="A14" s="2" t="inlineStr">
        <is>
          <t xml:space="preserve">    Packaging &amp; hang tags per unit</t>
        </is>
      </c>
      <c r="B14" s="9" t="inlineStr">
        <is>
          <t>See units above</t>
        </is>
      </c>
      <c r="C14" s="3" t="n">
        <v>1.1</v>
      </c>
      <c r="D14" s="4">
        <f>Qty * Rate</f>
        <v/>
      </c>
      <c r="E14" s="5" t="inlineStr">
        <is>
          <t>€</t>
        </is>
      </c>
    </row>
    <row r="15">
      <c r="A15" s="2" t="inlineStr">
        <is>
          <t xml:space="preserve">    Platform fees &amp; payment processing</t>
        </is>
      </c>
      <c r="B15" s="9" t="inlineStr">
        <is>
          <t>% of D2C revenue</t>
        </is>
      </c>
      <c r="C15" s="3" t="n">
        <v>0.04</v>
      </c>
      <c r="D15" s="4">
        <f>D2C Revenue * Rate</f>
        <v/>
      </c>
      <c r="E15" s="5" t="inlineStr">
        <is>
          <t>€</t>
        </is>
      </c>
    </row>
    <row r="16">
      <c r="A16" s="6" t="inlineStr">
        <is>
          <t xml:space="preserve">    TOTAL COGS</t>
        </is>
      </c>
      <c r="B16" s="7" t="n"/>
      <c r="C16" s="7" t="n"/>
      <c r="D16" s="4">
        <f>SUM(D12:D15)</f>
        <v/>
      </c>
      <c r="E16" s="8" t="inlineStr">
        <is>
          <t>€</t>
        </is>
      </c>
    </row>
    <row r="17" ht="8" customHeight="1" s="14"/>
    <row r="18">
      <c r="A18" s="10" t="inlineStr">
        <is>
          <t xml:space="preserve">  3.  GROSS PROFIT</t>
        </is>
      </c>
      <c r="B18" s="11" t="n"/>
      <c r="C18" s="11" t="n"/>
      <c r="D18" s="11" t="n"/>
      <c r="E18" s="12" t="n"/>
    </row>
    <row r="19">
      <c r="A19" s="6" t="inlineStr">
        <is>
          <t xml:space="preserve">    Gross Profit</t>
        </is>
      </c>
      <c r="B19" s="7" t="n"/>
      <c r="C19" s="7" t="n"/>
      <c r="D19" s="4" t="n"/>
      <c r="E19" s="8" t="inlineStr">
        <is>
          <t>€</t>
        </is>
      </c>
    </row>
    <row r="20">
      <c r="A20" s="6" t="inlineStr">
        <is>
          <t xml:space="preserve">    Gross Margin %</t>
        </is>
      </c>
      <c r="B20" s="7" t="n"/>
      <c r="C20" s="7" t="n"/>
      <c r="D20" s="4">
        <f>D19 / D9</f>
        <v/>
      </c>
      <c r="E20" s="8" t="inlineStr">
        <is>
          <t>%</t>
        </is>
      </c>
    </row>
    <row r="21" ht="8" customHeight="1" s="14"/>
    <row r="22">
      <c r="A22" s="10" t="inlineStr">
        <is>
          <t xml:space="preserve">  4.  FIXED &amp; OPERATING COSTS</t>
        </is>
      </c>
      <c r="B22" s="11" t="n"/>
      <c r="C22" s="11" t="n"/>
      <c r="D22" s="11" t="n"/>
      <c r="E22" s="12" t="n"/>
    </row>
    <row r="23">
      <c r="A23" s="2" t="inlineStr">
        <is>
          <t xml:space="preserve">    Salaries (5 staff)</t>
        </is>
      </c>
      <c r="B23" s="9" t="inlineStr">
        <is>
          <t>per month × 12</t>
        </is>
      </c>
      <c r="C23" s="3" t="n">
        <v>10500</v>
      </c>
      <c r="D23" s="4" t="n"/>
      <c r="E23" s="5" t="inlineStr">
        <is>
          <t>€</t>
        </is>
      </c>
    </row>
    <row r="24">
      <c r="A24" s="2" t="inlineStr">
        <is>
          <t xml:space="preserve">    Warehouse rent (Amsterdam)</t>
        </is>
      </c>
      <c r="B24" s="9" t="inlineStr">
        <is>
          <t>per month × 12</t>
        </is>
      </c>
      <c r="C24" s="3" t="n">
        <v>1400</v>
      </c>
      <c r="D24" s="4" t="n"/>
      <c r="E24" s="5" t="inlineStr">
        <is>
          <t>€</t>
        </is>
      </c>
    </row>
    <row r="25">
      <c r="A25" s="2" t="inlineStr">
        <is>
          <t xml:space="preserve">    GOTS certification &amp; audits (annual)</t>
        </is>
      </c>
      <c r="B25" s="9" t="inlineStr">
        <is>
          <t>per month × 12</t>
        </is>
      </c>
      <c r="C25" s="3" t="n">
        <v>3600</v>
      </c>
      <c r="D25" s="4" t="n"/>
      <c r="E25" s="5" t="inlineStr">
        <is>
          <t>€</t>
        </is>
      </c>
    </row>
    <row r="26">
      <c r="A26" s="2" t="inlineStr">
        <is>
          <t xml:space="preserve">    Marketing &amp; influencer spend</t>
        </is>
      </c>
      <c r="B26" s="9" t="inlineStr">
        <is>
          <t>per month × 12</t>
        </is>
      </c>
      <c r="C26" s="3" t="n">
        <v>900</v>
      </c>
      <c r="D26" s="4" t="n"/>
      <c r="E26" s="5" t="inlineStr">
        <is>
          <t>€</t>
        </is>
      </c>
    </row>
    <row r="27">
      <c r="A27" s="6" t="inlineStr">
        <is>
          <t xml:space="preserve">    TOTAL FIXED COSTS</t>
        </is>
      </c>
      <c r="B27" s="7" t="n"/>
      <c r="C27" s="7" t="n"/>
      <c r="D27" s="4">
        <f>SUM(D23:D26)</f>
        <v/>
      </c>
      <c r="E27" s="8" t="inlineStr">
        <is>
          <t>€</t>
        </is>
      </c>
    </row>
    <row r="28" ht="8" customHeight="1" s="14"/>
    <row r="29">
      <c r="A29" s="10" t="inlineStr">
        <is>
          <t xml:space="preserve">  5.  OPERATING PROFIT (EBIT)</t>
        </is>
      </c>
      <c r="B29" s="11" t="n"/>
      <c r="C29" s="11" t="n"/>
      <c r="D29" s="11" t="n"/>
      <c r="E29" s="12" t="n"/>
    </row>
    <row r="30">
      <c r="A30" s="6" t="inlineStr">
        <is>
          <t xml:space="preserve">    Operating Profit (EBIT)</t>
        </is>
      </c>
      <c r="B30" s="7" t="n"/>
      <c r="C30" s="7" t="n"/>
      <c r="D30" s="4" t="n"/>
      <c r="E30" s="8" t="inlineStr">
        <is>
          <t>€</t>
        </is>
      </c>
    </row>
    <row r="31" ht="8" customHeight="1" s="14"/>
    <row r="32">
      <c r="A32" s="10" t="inlineStr">
        <is>
          <t xml:space="preserve">  6.  BREAK-EVEN ANALYSIS</t>
        </is>
      </c>
      <c r="B32" s="11" t="n"/>
      <c r="C32" s="11" t="n"/>
      <c r="D32" s="11" t="n"/>
      <c r="E32" s="12" t="n"/>
    </row>
    <row r="33">
      <c r="A33" s="2" t="inlineStr">
        <is>
          <t xml:space="preserve">    Break-Even Units / Subscribers</t>
        </is>
      </c>
      <c r="B33" s="9" t="inlineStr">
        <is>
          <t>Fixed Costs ÷ (Price − Var. Cost/unit)</t>
        </is>
      </c>
      <c r="C33" s="7" t="n"/>
      <c r="D33" s="4" t="n"/>
      <c r="E33" s="5" t="inlineStr">
        <is>
          <t>units</t>
        </is>
      </c>
    </row>
    <row r="34" ht="8" customHeight="1" s="14"/>
    <row r="35">
      <c r="A35" s="13" t="inlineStr">
        <is>
          <t xml:space="preserve">  📌 Company context: Green Threads is a product business — COGS are per-unit manufacturing costs. Apply the cost rates to the total units sold across all product lines.</t>
        </is>
      </c>
    </row>
  </sheetData>
  <mergeCells count="9">
    <mergeCell ref="A29:E29"/>
    <mergeCell ref="A4:E4"/>
    <mergeCell ref="A35:E35"/>
    <mergeCell ref="A11:E11"/>
    <mergeCell ref="A1:E1"/>
    <mergeCell ref="A32:E32"/>
    <mergeCell ref="A22:E22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2026-05-28T12:28:30Z</dcterms:modified>
  <cp:lastModifiedBy>Khalil, Mohamed (FT RPD SDT MSO-DE)</cp:lastModifiedBy>
</cp:coreProperties>
</file>