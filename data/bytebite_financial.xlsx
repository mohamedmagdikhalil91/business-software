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BF360C"/>
      <sz val="11"/>
    </font>
    <font>
      <name val="Arial"/>
      <color rgb="002D2D2D"/>
      <sz val="10"/>
    </font>
    <font>
      <name val="Arial"/>
      <b val="1"/>
      <color rgb="00BF360C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 xml:space="preserve">  ByteBite 🍱 — Financial Model  |  Business Software Course · SRH Hochschule</t>
        </is>
      </c>
    </row>
    <row r="2" ht="22" customHeight="1">
      <c r="A2" s="2" t="inlineStr">
        <is>
          <t xml:space="preserve">  How to use this template</t>
        </is>
      </c>
    </row>
    <row r="4" ht="18" customHeight="1">
      <c r="A4" s="3" t="inlineStr"/>
    </row>
    <row r="5" ht="18" customHeight="1">
      <c r="A5" s="4" t="inlineStr">
        <is>
          <t xml:space="preserve">  🟦  BLUE cells</t>
        </is>
      </c>
    </row>
    <row r="6" ht="18" customHeight="1">
      <c r="A6" s="4" t="inlineStr">
        <is>
          <t xml:space="preserve">  🟨  YELLOW cells</t>
        </is>
      </c>
    </row>
    <row r="7" ht="18" customHeight="1">
      <c r="A7" s="4" t="inlineStr">
        <is>
          <t xml:space="preserve">  🟩  GREEN cells</t>
        </is>
      </c>
    </row>
    <row r="8" ht="18" customHeight="1">
      <c r="A8" s="3" t="inlineStr"/>
    </row>
    <row r="9" ht="18" customHeight="1">
      <c r="A9" s="4" t="inlineStr">
        <is>
          <t xml:space="preserve">  Step 1</t>
        </is>
      </c>
    </row>
    <row r="10" ht="18" customHeight="1">
      <c r="A10" s="4" t="inlineStr">
        <is>
          <t xml:space="preserve">  Step 2</t>
        </is>
      </c>
    </row>
    <row r="11" ht="18" customHeight="1">
      <c r="A11" s="4" t="inlineStr">
        <is>
          <t xml:space="preserve">  Step 3</t>
        </is>
      </c>
    </row>
    <row r="12" ht="18" customHeight="1">
      <c r="A12" s="4" t="inlineStr">
        <is>
          <t xml:space="preserve">  Step 4</t>
        </is>
      </c>
    </row>
    <row r="13" ht="18" customHeight="1">
      <c r="A13" s="4" t="inlineStr">
        <is>
          <t xml:space="preserve">  Step 5</t>
        </is>
      </c>
    </row>
    <row r="14" ht="18" customHeight="1">
      <c r="A14" s="3" t="inlineStr"/>
    </row>
    <row r="15" ht="18" customHeight="1">
      <c r="A15" s="3" t="inlineStr">
        <is>
          <t xml:space="preserve">  Tip</t>
        </is>
      </c>
    </row>
    <row r="16" ht="18" customHeight="1">
      <c r="A16" s="3" t="inlineStr">
        <is>
          <t xml:space="preserve">  Tip</t>
        </is>
      </c>
    </row>
    <row r="17" ht="18" customHeight="1">
      <c r="A17" s="3" t="inlineStr">
        <is>
          <t xml:space="preserve">  Tip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ByteBite 🍱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</row>
    <row r="5">
      <c r="A5" s="9" t="inlineStr">
        <is>
          <t xml:space="preserve">    Classic Plan subscribers (5-day)  [Subscribers × Box Price (€)]</t>
        </is>
      </c>
      <c r="B5" s="10" t="n">
        <v>320</v>
      </c>
      <c r="C5" s="10" t="n">
        <v>14.99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Keto Plan subscribers (5-day)  [Subscribers × Box Price (€)]</t>
        </is>
      </c>
      <c r="B6" s="10" t="n">
        <v>240</v>
      </c>
      <c r="C6" s="10" t="n">
        <v>14.99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Vegan Plan subscribers (5-day)  [Subscribers × Box Price (€)]</t>
        </is>
      </c>
      <c r="B7" s="10" t="n">
        <v>310</v>
      </c>
      <c r="C7" s="10" t="n">
        <v>14.99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High-Protein Plan subscribers  [Subscribers × Box Price (€)]</t>
        </is>
      </c>
      <c r="B8" s="10" t="n">
        <v>230</v>
      </c>
      <c r="C8" s="10" t="n">
        <v>14.99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</row>
    <row r="12">
      <c r="A12" s="9" t="inlineStr">
        <is>
          <t xml:space="preserve">    Ingredients per box (avg)</t>
        </is>
      </c>
      <c r="B12" s="16" t="inlineStr">
        <is>
          <t>Total boxes/year: ~52,000</t>
        </is>
      </c>
      <c r="C12" s="10" t="n">
        <v>4.2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Packaging per box</t>
        </is>
      </c>
      <c r="B13" s="16" t="inlineStr">
        <is>
          <t>Total boxes/year: ~52,000</t>
        </is>
      </c>
      <c r="C13" s="10" t="n">
        <v>0.8</v>
      </c>
      <c r="D13" s="11">
        <f> Qty × Rate</f>
        <v/>
      </c>
      <c r="E13" s="12" t="inlineStr">
        <is>
          <t>€</t>
        </is>
      </c>
    </row>
    <row r="14">
      <c r="A14" s="9" t="inlineStr">
        <is>
          <t xml:space="preserve">    Cold-chain delivery per box</t>
        </is>
      </c>
      <c r="B14" s="16" t="inlineStr">
        <is>
          <t>Total boxes/year: ~52,000</t>
        </is>
      </c>
      <c r="C14" s="10" t="n">
        <v>2.5</v>
      </c>
      <c r="D14" s="11">
        <f> Qty × Rate</f>
        <v/>
      </c>
      <c r="E14" s="12" t="inlineStr">
        <is>
          <t>€</t>
        </is>
      </c>
    </row>
    <row r="15">
      <c r="A15" s="13" t="inlineStr">
        <is>
          <t xml:space="preserve">    TOTAL COGS</t>
        </is>
      </c>
      <c r="B15" s="14" t="inlineStr"/>
      <c r="C15" s="14" t="inlineStr"/>
      <c r="D15" s="11">
        <f> SUM(D12:D14)</f>
        <v/>
      </c>
      <c r="E15" s="15" t="inlineStr">
        <is>
          <t>€</t>
        </is>
      </c>
    </row>
    <row r="16" ht="8" customHeight="1"/>
    <row r="17">
      <c r="A17" s="8" t="inlineStr">
        <is>
          <t xml:space="preserve">  3.  GROSS PROFIT</t>
        </is>
      </c>
    </row>
    <row r="18">
      <c r="A18" s="13" t="inlineStr">
        <is>
          <t xml:space="preserve">    Gross Profit</t>
        </is>
      </c>
      <c r="B18" s="14" t="inlineStr"/>
      <c r="C18" s="14" t="inlineStr"/>
      <c r="D18" s="11">
        <f> D9 − D15</f>
        <v/>
      </c>
      <c r="E18" s="15" t="inlineStr">
        <is>
          <t>€</t>
        </is>
      </c>
    </row>
    <row r="19">
      <c r="A19" s="13" t="inlineStr">
        <is>
          <t xml:space="preserve">    Gross Margin %</t>
        </is>
      </c>
      <c r="B19" s="14" t="inlineStr"/>
      <c r="C19" s="14" t="inlineStr"/>
      <c r="D19" s="11">
        <f> D18 / D9</f>
        <v/>
      </c>
      <c r="E19" s="15" t="inlineStr">
        <is>
          <t>%</t>
        </is>
      </c>
    </row>
    <row r="20" ht="8" customHeight="1"/>
    <row r="21">
      <c r="A21" s="8" t="inlineStr">
        <is>
          <t xml:space="preserve">  4.  FIXED &amp; OPERATING COSTS</t>
        </is>
      </c>
    </row>
    <row r="22">
      <c r="A22" s="9" t="inlineStr">
        <is>
          <t xml:space="preserve">    Salaries (7 staff)</t>
        </is>
      </c>
      <c r="B22" s="16" t="inlineStr">
        <is>
          <t>per month × 12</t>
        </is>
      </c>
      <c r="C22" s="10" t="n">
        <v>14500</v>
      </c>
      <c r="D22" s="11">
        <f> C × 12</f>
        <v/>
      </c>
      <c r="E22" s="12" t="inlineStr">
        <is>
          <t>€</t>
        </is>
      </c>
    </row>
    <row r="23">
      <c r="A23" s="9" t="inlineStr">
        <is>
          <t xml:space="preserve">    Kitchen rent &amp; utilities</t>
        </is>
      </c>
      <c r="B23" s="16" t="inlineStr">
        <is>
          <t>per month × 12</t>
        </is>
      </c>
      <c r="C23" s="10" t="n">
        <v>2200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Delivery vehicle lease</t>
        </is>
      </c>
      <c r="B24" s="16" t="inlineStr">
        <is>
          <t>per month × 12</t>
        </is>
      </c>
      <c r="C24" s="10" t="n">
        <v>680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Software &amp; CRM</t>
        </is>
      </c>
      <c r="B25" s="16" t="inlineStr">
        <is>
          <t>per month × 12</t>
        </is>
      </c>
      <c r="C25" s="10" t="n">
        <v>220</v>
      </c>
      <c r="D25" s="11">
        <f> C × 12</f>
        <v/>
      </c>
      <c r="E25" s="12" t="inlineStr">
        <is>
          <t>€</t>
        </is>
      </c>
    </row>
    <row r="26">
      <c r="A26" s="13" t="inlineStr">
        <is>
          <t xml:space="preserve">    TOTAL FIXED COSTS</t>
        </is>
      </c>
      <c r="B26" s="14" t="inlineStr"/>
      <c r="C26" s="14" t="inlineStr"/>
      <c r="D26" s="11">
        <f> SUM(D22:D25)</f>
        <v/>
      </c>
      <c r="E26" s="15" t="inlineStr">
        <is>
          <t>€</t>
        </is>
      </c>
    </row>
    <row r="27" ht="8" customHeight="1"/>
    <row r="28">
      <c r="A28" s="8" t="inlineStr">
        <is>
          <t xml:space="preserve">  5.  OPERATING PROFIT (EBIT)</t>
        </is>
      </c>
    </row>
    <row r="29">
      <c r="A29" s="13" t="inlineStr">
        <is>
          <t xml:space="preserve">    Operating Profit (EBIT)</t>
        </is>
      </c>
      <c r="B29" s="14" t="inlineStr"/>
      <c r="C29" s="14" t="inlineStr"/>
      <c r="D29" s="11">
        <f> D18 − D26</f>
        <v/>
      </c>
      <c r="E29" s="15" t="inlineStr">
        <is>
          <t>€</t>
        </is>
      </c>
    </row>
    <row r="30" ht="8" customHeight="1"/>
    <row r="31">
      <c r="A31" s="8" t="inlineStr">
        <is>
          <t xml:space="preserve">  6.  BREAK-EVEN ANALYSIS</t>
        </is>
      </c>
    </row>
    <row r="32">
      <c r="A32" s="9" t="inlineStr">
        <is>
          <t xml:space="preserve">    Break-Even Units / Subscribers</t>
        </is>
      </c>
      <c r="B32" s="16" t="inlineStr">
        <is>
          <t>Fixed Costs ÷ (Price − Var. Cost/unit)</t>
        </is>
      </c>
      <c r="C32" s="14" t="inlineStr"/>
      <c r="D32" s="11">
        <f> Fixed ÷ (Price − Var.Cost)</f>
        <v/>
      </c>
      <c r="E32" s="12" t="inlineStr">
        <is>
          <t>units</t>
        </is>
      </c>
    </row>
    <row r="33" ht="8" customHeight="1"/>
    <row r="34">
      <c r="A34" s="7" t="inlineStr">
        <is>
          <t xml:space="preserve">  📌 Company context: ByteBite delivers boxes 5 days/week, ~52 weeks/year. Total boxes = subscribers × 260 deliveries/year. Use this to calculate variable costs. Contribution margin = Box price − variable cost per box.</t>
        </is>
      </c>
    </row>
  </sheetData>
  <mergeCells count="9">
    <mergeCell ref="A21:E21"/>
    <mergeCell ref="A34:E34"/>
    <mergeCell ref="A4:E4"/>
    <mergeCell ref="A28:E28"/>
    <mergeCell ref="A11:E11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2026-05-18T19:08:37Z</dcterms:modified>
</cp:coreProperties>
</file>