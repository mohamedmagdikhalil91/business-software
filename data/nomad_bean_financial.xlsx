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Reference" sheetId="3" state="visible" r:id="rId3"/>
    <sheet xmlns:r="http://schemas.openxmlformats.org/officeDocument/2006/relationships" name="Fixed Costs" sheetId="4" state="visible" r:id="rId4"/>
    <sheet xmlns:r="http://schemas.openxmlformats.org/officeDocument/2006/relationships" name="P&amp;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#,##0.00 &quot;€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color rgb="00375623"/>
      <sz val="11"/>
    </font>
    <font>
      <name val="Calibri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EBF3E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F9C4"/>
      </patternFill>
    </fill>
    <fill>
      <patternFill patternType="solid">
        <fgColor rgb="00E8F4FD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7B68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8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  <xf numFmtId="0" fontId="2" fillId="6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2" fillId="1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11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6" fontId="5" fillId="11" borderId="1" applyAlignment="1" pivotButton="0" quotePrefix="0" xfId="0">
      <alignment horizontal="right" vertical="center"/>
    </xf>
    <xf numFmtId="0" fontId="1" fillId="14" borderId="1" applyAlignment="1" pivotButton="0" quotePrefix="0" xfId="0">
      <alignment horizontal="left" vertical="center"/>
    </xf>
    <xf numFmtId="0" fontId="4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📋  Instructions  |  Nomad Bean ☕  |  Financial Model</t>
        </is>
      </c>
    </row>
    <row r="2" ht="20" customHeight="1">
      <c r="A2" s="2" t="inlineStr">
        <is>
          <t>Section</t>
        </is>
      </c>
      <c r="B2" s="3" t="inlineStr">
        <is>
          <t>Details</t>
        </is>
      </c>
    </row>
    <row r="3" ht="65" customHeight="1">
      <c r="A3" s="4" t="inlineStr">
        <is>
          <t>Overview</t>
        </is>
      </c>
      <c r="B3" s="5" t="inlineStr">
        <is>
          <t>This workbook has five sheets:
① Raw Data     – individual revenue and cost transactions for FY 2025
② Reference    – a lookup table of standard unit rates by category
③ Fixed Costs  – monthly unit costs; name these cells before using them in the P&amp;L
④ P&amp;L          – the Profit &amp; Loss statement you will build using formulas
⑤ Instructions – this sheet</t>
        </is>
      </c>
    </row>
    <row r="4" ht="65" customHeight="1">
      <c r="A4" s="4" t="inlineStr">
        <is>
          <t>Your Task</t>
        </is>
      </c>
      <c r="B4" s="5" t="inlineStr">
        <is>
          <t>Navigate to the P&amp;L sheet and fill in every 🟨 YELLOW cell with the correct formula.
Each yellow cell has a plain-English hint in the column next to it — your job is to translate that instruction into an Excel formula.
Do NOT change pre-filled cells (blue = given inputs, green = auto-calculated totals).</t>
        </is>
      </c>
    </row>
    <row r="5" ht="65" customHeight="1">
      <c r="A5" s="4" t="inlineStr">
        <is>
          <t>Step 1 – SUMIF</t>
        </is>
      </c>
      <c r="B5" s="5" t="inlineStr">
        <is>
          <t>Revenue and Cost lines in the P&amp;L need to be totalled from the Raw Data sheet.
Formula pattern:  =SUMIF('Raw Data'!D:D, "Category Name", 'Raw Data'!H:H)
Read the hint, identify the category name, then write the formula yourself.</t>
        </is>
      </c>
    </row>
    <row r="6" ht="65" customHeight="1">
      <c r="A6" s="4" t="inlineStr">
        <is>
          <t>Step 2 – VLOOKUP</t>
        </is>
      </c>
      <c r="B6" s="5" t="inlineStr">
        <is>
          <t>Two cells ask you to look up a standard rate from the Reference sheet.
Formula pattern:  =VLOOKUP("Category Name", Reference!A:C, 2, FALSE)
Column A = Category  |  Column B = Standard Rate  |  Always use FALSE for exact match.</t>
        </is>
      </c>
    </row>
    <row r="7" ht="65" customHeight="1">
      <c r="A7" s="4" t="inlineStr">
        <is>
          <t>Step 3 – Cell Naming (Fixed Costs sheet)</t>
        </is>
      </c>
      <c r="B7" s="5" t="inlineStr">
        <is>
          <t>Go to the Fixed Costs sheet BEFORE writing the P&amp;L fixed cost formulas.
Follow the instructions there to name each monthly cost cell.
Then in the P&amp;L, reference those names directly — e.g. =Salaries_Mo * 12</t>
        </is>
      </c>
    </row>
    <row r="8" ht="65" customHeight="1">
      <c r="A8" s="4" t="inlineStr">
        <is>
          <t>Step 4 – IF / IFS</t>
        </is>
      </c>
      <c r="B8" s="5" t="inlineStr">
        <is>
          <t>The EBIT section includes two logic flags.
IF pattern:   =IF(condition, "value if true", "value if false")
IFS pattern:  =IFS(condition1, "result1", condition2, "result2", TRUE, "default")</t>
        </is>
      </c>
    </row>
    <row r="9" ht="65" customHeight="1">
      <c r="A9" s="4" t="inlineStr">
        <is>
          <t>Step 5 – Pivot Table</t>
        </is>
      </c>
      <c r="B9" s="5" t="inlineStr">
        <is>
          <t>Once the P&amp;L is complete, insert a Pivot Table from the Raw Data sheet to verify your numbers:
• Rows: Category  • Values: Sum of Total (€)  • Filter: Type (Revenue / Cost)
If a Pivot total differs from your SUMIF, look for a typo or extra space in a category name.</t>
        </is>
      </c>
    </row>
    <row r="10" ht="65" customHeight="1">
      <c r="A10" s="4" t="inlineStr">
        <is>
          <t>Color Legend</t>
        </is>
      </c>
      <c r="B10" s="5" t="inlineStr">
        <is>
          <t>🟦 Blue  = pre-filled input — do not change
🟨 Yellow = write your formula here
🟩 Green = auto-calculated total (formula already written)</t>
        </is>
      </c>
    </row>
    <row r="11" ht="65" customHeight="1">
      <c r="A11" s="4" t="inlineStr">
        <is>
          <t>Tips</t>
        </is>
      </c>
      <c r="B11" s="5" t="inlineStr">
        <is>
          <t>• Sheet names with spaces need single quotes: 'Raw Data'!D:D
• SUMIF is case-insensitive — category names must match exactly (no typos or extra spaces)
• Press F4 after clicking a cell reference to add $ signs (lock the reference)
• Use IFERROR to wrap any formula that might show an error: =IFERROR(your_formula, 0)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6" customWidth="1" min="4" max="4"/>
    <col width="36" customWidth="1" min="5" max="5"/>
    <col width="10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TxID</t>
        </is>
      </c>
      <c r="C1" s="6" t="inlineStr">
        <is>
          <t>Type</t>
        </is>
      </c>
      <c r="D1" s="6" t="inlineStr">
        <is>
          <t>Category</t>
        </is>
      </c>
      <c r="E1" s="6" t="inlineStr">
        <is>
          <t>Description</t>
        </is>
      </c>
      <c r="F1" s="6" t="inlineStr">
        <is>
          <t>Qty</t>
        </is>
      </c>
      <c r="G1" s="6" t="inlineStr">
        <is>
          <t>Unit Price (€)</t>
        </is>
      </c>
      <c r="H1" s="6" t="inlineStr">
        <is>
          <t>Total (€)</t>
        </is>
      </c>
    </row>
    <row r="2">
      <c r="A2" s="7" t="n">
        <v>45664</v>
      </c>
      <c r="B2" s="8" t="inlineStr">
        <is>
          <t>COST-001</t>
        </is>
      </c>
      <c r="C2" s="9" t="inlineStr">
        <is>
          <t>Cost</t>
        </is>
      </c>
      <c r="D2" s="8" t="inlineStr">
        <is>
          <t>Coffee Beans</t>
        </is>
      </c>
      <c r="E2" s="8" t="inlineStr">
        <is>
          <t>Coffee beans cost – monthly</t>
        </is>
      </c>
      <c r="F2" s="10" t="n">
        <v>105</v>
      </c>
      <c r="G2" s="11" t="n">
        <v>5.2</v>
      </c>
      <c r="H2" s="11" t="n">
        <v>546</v>
      </c>
    </row>
    <row r="3">
      <c r="A3" s="7" t="n">
        <v>45664</v>
      </c>
      <c r="B3" s="8" t="inlineStr">
        <is>
          <t>COST-025</t>
        </is>
      </c>
      <c r="C3" s="9" t="inlineStr">
        <is>
          <t>Cost</t>
        </is>
      </c>
      <c r="D3" s="8" t="inlineStr">
        <is>
          <t>Fulfilment</t>
        </is>
      </c>
      <c r="E3" s="8" t="inlineStr">
        <is>
          <t>Fulfilment &amp; shipping – monthly</t>
        </is>
      </c>
      <c r="F3" s="10" t="n">
        <v>105</v>
      </c>
      <c r="G3" s="11" t="n">
        <v>2.4</v>
      </c>
      <c r="H3" s="11" t="n">
        <v>252</v>
      </c>
    </row>
    <row r="4">
      <c r="A4" s="12" t="n">
        <v>45666</v>
      </c>
      <c r="B4" s="13" t="inlineStr">
        <is>
          <t>INV-005</t>
        </is>
      </c>
      <c r="C4" s="14" t="inlineStr">
        <is>
          <t>Revenue</t>
        </is>
      </c>
      <c r="D4" s="13" t="inlineStr">
        <is>
          <t>Connoisseur Subscription</t>
        </is>
      </c>
      <c r="E4" s="13" t="inlineStr">
        <is>
          <t>Connoisseur plan billing – Q1</t>
        </is>
      </c>
      <c r="F4" s="15" t="n">
        <v>40</v>
      </c>
      <c r="G4" s="16" t="n">
        <v>22.99</v>
      </c>
      <c r="H4" s="16" t="n">
        <v>919.6</v>
      </c>
    </row>
    <row r="5">
      <c r="A5" s="12" t="n">
        <v>45677</v>
      </c>
      <c r="B5" s="13" t="inlineStr">
        <is>
          <t>INV-013</t>
        </is>
      </c>
      <c r="C5" s="14" t="inlineStr">
        <is>
          <t>Revenue</t>
        </is>
      </c>
      <c r="D5" s="13" t="inlineStr">
        <is>
          <t>B2B Corporate Orders</t>
        </is>
      </c>
      <c r="E5" s="13" t="inlineStr">
        <is>
          <t>Corporate order – client 1</t>
        </is>
      </c>
      <c r="F5" s="15" t="n">
        <v>1</v>
      </c>
      <c r="G5" s="16" t="n">
        <v>850</v>
      </c>
      <c r="H5" s="16" t="n">
        <v>850</v>
      </c>
    </row>
    <row r="6">
      <c r="A6" s="12" t="n">
        <v>45678</v>
      </c>
      <c r="B6" s="13" t="inlineStr">
        <is>
          <t>INV-009</t>
        </is>
      </c>
      <c r="C6" s="14" t="inlineStr">
        <is>
          <t>Revenue</t>
        </is>
      </c>
      <c r="D6" s="13" t="inlineStr">
        <is>
          <t>Roasters Choice</t>
        </is>
      </c>
      <c r="E6" s="13" t="inlineStr">
        <is>
          <t>Roaster's Choice billing – Q1</t>
        </is>
      </c>
      <c r="F6" s="15" t="n">
        <v>20</v>
      </c>
      <c r="G6" s="16" t="n">
        <v>34.99</v>
      </c>
      <c r="H6" s="16" t="n">
        <v>699.8</v>
      </c>
    </row>
    <row r="7">
      <c r="A7" s="7" t="n">
        <v>45679</v>
      </c>
      <c r="B7" s="8" t="inlineStr">
        <is>
          <t>COST-013</t>
        </is>
      </c>
      <c r="C7" s="9" t="inlineStr">
        <is>
          <t>Cost</t>
        </is>
      </c>
      <c r="D7" s="8" t="inlineStr">
        <is>
          <t>Packaging</t>
        </is>
      </c>
      <c r="E7" s="8" t="inlineStr">
        <is>
          <t>Packaging &amp; materials – monthly</t>
        </is>
      </c>
      <c r="F7" s="10" t="n">
        <v>105</v>
      </c>
      <c r="G7" s="11" t="n">
        <v>1.8</v>
      </c>
      <c r="H7" s="11" t="n">
        <v>189</v>
      </c>
    </row>
    <row r="8">
      <c r="A8" s="12" t="n">
        <v>45682</v>
      </c>
      <c r="B8" s="13" t="inlineStr">
        <is>
          <t>INV-001</t>
        </is>
      </c>
      <c r="C8" s="14" t="inlineStr">
        <is>
          <t>Revenue</t>
        </is>
      </c>
      <c r="D8" s="13" t="inlineStr">
        <is>
          <t>Explorer Subscription</t>
        </is>
      </c>
      <c r="E8" s="13" t="inlineStr">
        <is>
          <t>Explorer plan billing – Q1</t>
        </is>
      </c>
      <c r="F8" s="15" t="n">
        <v>45</v>
      </c>
      <c r="G8" s="16" t="n">
        <v>14.99</v>
      </c>
      <c r="H8" s="16" t="n">
        <v>674.55</v>
      </c>
    </row>
    <row r="9">
      <c r="A9" s="12" t="n">
        <v>45693</v>
      </c>
      <c r="B9" s="13" t="inlineStr">
        <is>
          <t>INV-010</t>
        </is>
      </c>
      <c r="C9" s="14" t="inlineStr">
        <is>
          <t>Revenue</t>
        </is>
      </c>
      <c r="D9" s="13" t="inlineStr">
        <is>
          <t>Roasters Choice</t>
        </is>
      </c>
      <c r="E9" s="13" t="inlineStr">
        <is>
          <t>Roaster's Choice billing – Q2</t>
        </is>
      </c>
      <c r="F9" s="15" t="n">
        <v>20</v>
      </c>
      <c r="G9" s="16" t="n">
        <v>34.99</v>
      </c>
      <c r="H9" s="16" t="n">
        <v>699.8</v>
      </c>
    </row>
    <row r="10">
      <c r="A10" s="12" t="n">
        <v>45693</v>
      </c>
      <c r="B10" s="13" t="inlineStr">
        <is>
          <t>INV-014</t>
        </is>
      </c>
      <c r="C10" s="14" t="inlineStr">
        <is>
          <t>Revenue</t>
        </is>
      </c>
      <c r="D10" s="13" t="inlineStr">
        <is>
          <t>B2B Corporate Orders</t>
        </is>
      </c>
      <c r="E10" s="13" t="inlineStr">
        <is>
          <t>Corporate order – client 2</t>
        </is>
      </c>
      <c r="F10" s="15" t="n">
        <v>1</v>
      </c>
      <c r="G10" s="16" t="n">
        <v>850</v>
      </c>
      <c r="H10" s="16" t="n">
        <v>850</v>
      </c>
    </row>
    <row r="11">
      <c r="A11" s="7" t="n">
        <v>45699</v>
      </c>
      <c r="B11" s="8" t="inlineStr">
        <is>
          <t>COST-014</t>
        </is>
      </c>
      <c r="C11" s="9" t="inlineStr">
        <is>
          <t>Cost</t>
        </is>
      </c>
      <c r="D11" s="8" t="inlineStr">
        <is>
          <t>Packaging</t>
        </is>
      </c>
      <c r="E11" s="8" t="inlineStr">
        <is>
          <t>Packaging &amp; materials – monthly</t>
        </is>
      </c>
      <c r="F11" s="10" t="n">
        <v>105</v>
      </c>
      <c r="G11" s="11" t="n">
        <v>1.8</v>
      </c>
      <c r="H11" s="11" t="n">
        <v>189</v>
      </c>
    </row>
    <row r="12">
      <c r="A12" s="7" t="n">
        <v>45703</v>
      </c>
      <c r="B12" s="8" t="inlineStr">
        <is>
          <t>COST-026</t>
        </is>
      </c>
      <c r="C12" s="9" t="inlineStr">
        <is>
          <t>Cost</t>
        </is>
      </c>
      <c r="D12" s="8" t="inlineStr">
        <is>
          <t>Fulfilment</t>
        </is>
      </c>
      <c r="E12" s="8" t="inlineStr">
        <is>
          <t>Fulfilment &amp; shipping – monthly</t>
        </is>
      </c>
      <c r="F12" s="10" t="n">
        <v>105</v>
      </c>
      <c r="G12" s="11" t="n">
        <v>2.4</v>
      </c>
      <c r="H12" s="11" t="n">
        <v>252</v>
      </c>
    </row>
    <row r="13">
      <c r="A13" s="12" t="n">
        <v>45704</v>
      </c>
      <c r="B13" s="13" t="inlineStr">
        <is>
          <t>INV-006</t>
        </is>
      </c>
      <c r="C13" s="14" t="inlineStr">
        <is>
          <t>Revenue</t>
        </is>
      </c>
      <c r="D13" s="13" t="inlineStr">
        <is>
          <t>Connoisseur Subscription</t>
        </is>
      </c>
      <c r="E13" s="13" t="inlineStr">
        <is>
          <t>Connoisseur plan billing – Q2</t>
        </is>
      </c>
      <c r="F13" s="15" t="n">
        <v>40</v>
      </c>
      <c r="G13" s="16" t="n">
        <v>22.99</v>
      </c>
      <c r="H13" s="16" t="n">
        <v>919.6</v>
      </c>
    </row>
    <row r="14">
      <c r="A14" s="12" t="n">
        <v>45709</v>
      </c>
      <c r="B14" s="13" t="inlineStr">
        <is>
          <t>INV-002</t>
        </is>
      </c>
      <c r="C14" s="14" t="inlineStr">
        <is>
          <t>Revenue</t>
        </is>
      </c>
      <c r="D14" s="13" t="inlineStr">
        <is>
          <t>Explorer Subscription</t>
        </is>
      </c>
      <c r="E14" s="13" t="inlineStr">
        <is>
          <t>Explorer plan billing – Q2</t>
        </is>
      </c>
      <c r="F14" s="15" t="n">
        <v>45</v>
      </c>
      <c r="G14" s="16" t="n">
        <v>14.99</v>
      </c>
      <c r="H14" s="16" t="n">
        <v>674.55</v>
      </c>
    </row>
    <row r="15">
      <c r="A15" s="7" t="n">
        <v>45710</v>
      </c>
      <c r="B15" s="8" t="inlineStr">
        <is>
          <t>COST-002</t>
        </is>
      </c>
      <c r="C15" s="9" t="inlineStr">
        <is>
          <t>Cost</t>
        </is>
      </c>
      <c r="D15" s="8" t="inlineStr">
        <is>
          <t>Coffee Beans</t>
        </is>
      </c>
      <c r="E15" s="8" t="inlineStr">
        <is>
          <t>Coffee beans cost – monthly</t>
        </is>
      </c>
      <c r="F15" s="10" t="n">
        <v>105</v>
      </c>
      <c r="G15" s="11" t="n">
        <v>5.2</v>
      </c>
      <c r="H15" s="11" t="n">
        <v>546</v>
      </c>
    </row>
    <row r="16">
      <c r="A16" s="7" t="n">
        <v>45721</v>
      </c>
      <c r="B16" s="8" t="inlineStr">
        <is>
          <t>COST-027</t>
        </is>
      </c>
      <c r="C16" s="9" t="inlineStr">
        <is>
          <t>Cost</t>
        </is>
      </c>
      <c r="D16" s="8" t="inlineStr">
        <is>
          <t>Fulfilment</t>
        </is>
      </c>
      <c r="E16" s="8" t="inlineStr">
        <is>
          <t>Fulfilment &amp; shipping – monthly</t>
        </is>
      </c>
      <c r="F16" s="10" t="n">
        <v>105</v>
      </c>
      <c r="G16" s="11" t="n">
        <v>2.4</v>
      </c>
      <c r="H16" s="11" t="n">
        <v>252</v>
      </c>
    </row>
    <row r="17">
      <c r="A17" s="12" t="n">
        <v>45724</v>
      </c>
      <c r="B17" s="13" t="inlineStr">
        <is>
          <t>INV-015</t>
        </is>
      </c>
      <c r="C17" s="14" t="inlineStr">
        <is>
          <t>Revenue</t>
        </is>
      </c>
      <c r="D17" s="13" t="inlineStr">
        <is>
          <t>B2B Corporate Orders</t>
        </is>
      </c>
      <c r="E17" s="13" t="inlineStr">
        <is>
          <t>Corporate order – client 3</t>
        </is>
      </c>
      <c r="F17" s="15" t="n">
        <v>1</v>
      </c>
      <c r="G17" s="16" t="n">
        <v>850</v>
      </c>
      <c r="H17" s="16" t="n">
        <v>850</v>
      </c>
    </row>
    <row r="18">
      <c r="A18" s="7" t="n">
        <v>45725</v>
      </c>
      <c r="B18" s="8" t="inlineStr">
        <is>
          <t>COST-003</t>
        </is>
      </c>
      <c r="C18" s="9" t="inlineStr">
        <is>
          <t>Cost</t>
        </is>
      </c>
      <c r="D18" s="8" t="inlineStr">
        <is>
          <t>Coffee Beans</t>
        </is>
      </c>
      <c r="E18" s="8" t="inlineStr">
        <is>
          <t>Coffee beans cost – monthly</t>
        </is>
      </c>
      <c r="F18" s="10" t="n">
        <v>105</v>
      </c>
      <c r="G18" s="11" t="n">
        <v>5.2</v>
      </c>
      <c r="H18" s="11" t="n">
        <v>546</v>
      </c>
    </row>
    <row r="19">
      <c r="A19" s="12" t="n">
        <v>45726</v>
      </c>
      <c r="B19" s="13" t="inlineStr">
        <is>
          <t>INV-007</t>
        </is>
      </c>
      <c r="C19" s="14" t="inlineStr">
        <is>
          <t>Revenue</t>
        </is>
      </c>
      <c r="D19" s="13" t="inlineStr">
        <is>
          <t>Connoisseur Subscription</t>
        </is>
      </c>
      <c r="E19" s="13" t="inlineStr">
        <is>
          <t>Connoisseur plan billing – Q3</t>
        </is>
      </c>
      <c r="F19" s="15" t="n">
        <v>40</v>
      </c>
      <c r="G19" s="16" t="n">
        <v>22.99</v>
      </c>
      <c r="H19" s="16" t="n">
        <v>919.6</v>
      </c>
    </row>
    <row r="20">
      <c r="A20" s="7" t="n">
        <v>45730</v>
      </c>
      <c r="B20" s="8" t="inlineStr">
        <is>
          <t>COST-015</t>
        </is>
      </c>
      <c r="C20" s="9" t="inlineStr">
        <is>
          <t>Cost</t>
        </is>
      </c>
      <c r="D20" s="8" t="inlineStr">
        <is>
          <t>Packaging</t>
        </is>
      </c>
      <c r="E20" s="8" t="inlineStr">
        <is>
          <t>Packaging &amp; materials – monthly</t>
        </is>
      </c>
      <c r="F20" s="10" t="n">
        <v>105</v>
      </c>
      <c r="G20" s="11" t="n">
        <v>1.8</v>
      </c>
      <c r="H20" s="11" t="n">
        <v>189</v>
      </c>
    </row>
    <row r="21">
      <c r="A21" s="12" t="n">
        <v>45740</v>
      </c>
      <c r="B21" s="13" t="inlineStr">
        <is>
          <t>INV-003</t>
        </is>
      </c>
      <c r="C21" s="14" t="inlineStr">
        <is>
          <t>Revenue</t>
        </is>
      </c>
      <c r="D21" s="13" t="inlineStr">
        <is>
          <t>Explorer Subscription</t>
        </is>
      </c>
      <c r="E21" s="13" t="inlineStr">
        <is>
          <t>Explorer plan billing – Q3</t>
        </is>
      </c>
      <c r="F21" s="15" t="n">
        <v>45</v>
      </c>
      <c r="G21" s="16" t="n">
        <v>14.99</v>
      </c>
      <c r="H21" s="16" t="n">
        <v>674.55</v>
      </c>
    </row>
    <row r="22">
      <c r="A22" s="12" t="n">
        <v>45740</v>
      </c>
      <c r="B22" s="13" t="inlineStr">
        <is>
          <t>INV-011</t>
        </is>
      </c>
      <c r="C22" s="14" t="inlineStr">
        <is>
          <t>Revenue</t>
        </is>
      </c>
      <c r="D22" s="13" t="inlineStr">
        <is>
          <t>Roasters Choice</t>
        </is>
      </c>
      <c r="E22" s="13" t="inlineStr">
        <is>
          <t>Roaster's Choice billing – Q3</t>
        </is>
      </c>
      <c r="F22" s="15" t="n">
        <v>20</v>
      </c>
      <c r="G22" s="16" t="n">
        <v>34.99</v>
      </c>
      <c r="H22" s="16" t="n">
        <v>699.8</v>
      </c>
    </row>
    <row r="23">
      <c r="A23" s="7" t="n">
        <v>45756</v>
      </c>
      <c r="B23" s="8" t="inlineStr">
        <is>
          <t>COST-004</t>
        </is>
      </c>
      <c r="C23" s="9" t="inlineStr">
        <is>
          <t>Cost</t>
        </is>
      </c>
      <c r="D23" s="8" t="inlineStr">
        <is>
          <t>Coffee Beans</t>
        </is>
      </c>
      <c r="E23" s="8" t="inlineStr">
        <is>
          <t>Coffee beans cost – monthly</t>
        </is>
      </c>
      <c r="F23" s="10" t="n">
        <v>105</v>
      </c>
      <c r="G23" s="11" t="n">
        <v>5.2</v>
      </c>
      <c r="H23" s="11" t="n">
        <v>546</v>
      </c>
    </row>
    <row r="24">
      <c r="A24" s="12" t="n">
        <v>45758</v>
      </c>
      <c r="B24" s="13" t="inlineStr">
        <is>
          <t>INV-004</t>
        </is>
      </c>
      <c r="C24" s="14" t="inlineStr">
        <is>
          <t>Revenue</t>
        </is>
      </c>
      <c r="D24" s="13" t="inlineStr">
        <is>
          <t>Explorer Subscription</t>
        </is>
      </c>
      <c r="E24" s="13" t="inlineStr">
        <is>
          <t>Explorer plan billing – Q4</t>
        </is>
      </c>
      <c r="F24" s="15" t="n">
        <v>45</v>
      </c>
      <c r="G24" s="16" t="n">
        <v>14.99</v>
      </c>
      <c r="H24" s="16" t="n">
        <v>674.55</v>
      </c>
    </row>
    <row r="25">
      <c r="A25" s="12" t="n">
        <v>45762</v>
      </c>
      <c r="B25" s="13" t="inlineStr">
        <is>
          <t>INV-012</t>
        </is>
      </c>
      <c r="C25" s="14" t="inlineStr">
        <is>
          <t>Revenue</t>
        </is>
      </c>
      <c r="D25" s="13" t="inlineStr">
        <is>
          <t>Roasters Choice</t>
        </is>
      </c>
      <c r="E25" s="13" t="inlineStr">
        <is>
          <t>Roaster's Choice billing – Q4</t>
        </is>
      </c>
      <c r="F25" s="15" t="n">
        <v>20</v>
      </c>
      <c r="G25" s="16" t="n">
        <v>34.99</v>
      </c>
      <c r="H25" s="16" t="n">
        <v>699.8</v>
      </c>
    </row>
    <row r="26">
      <c r="A26" s="12" t="n">
        <v>45763</v>
      </c>
      <c r="B26" s="13" t="inlineStr">
        <is>
          <t>INV-016</t>
        </is>
      </c>
      <c r="C26" s="14" t="inlineStr">
        <is>
          <t>Revenue</t>
        </is>
      </c>
      <c r="D26" s="13" t="inlineStr">
        <is>
          <t>B2B Corporate Orders</t>
        </is>
      </c>
      <c r="E26" s="13" t="inlineStr">
        <is>
          <t>Corporate order – client 4</t>
        </is>
      </c>
      <c r="F26" s="15" t="n">
        <v>1</v>
      </c>
      <c r="G26" s="16" t="n">
        <v>850</v>
      </c>
      <c r="H26" s="16" t="n">
        <v>850</v>
      </c>
    </row>
    <row r="27">
      <c r="A27" s="7" t="n">
        <v>45764</v>
      </c>
      <c r="B27" s="8" t="inlineStr">
        <is>
          <t>COST-016</t>
        </is>
      </c>
      <c r="C27" s="9" t="inlineStr">
        <is>
          <t>Cost</t>
        </is>
      </c>
      <c r="D27" s="8" t="inlineStr">
        <is>
          <t>Packaging</t>
        </is>
      </c>
      <c r="E27" s="8" t="inlineStr">
        <is>
          <t>Packaging &amp; materials – monthly</t>
        </is>
      </c>
      <c r="F27" s="10" t="n">
        <v>105</v>
      </c>
      <c r="G27" s="11" t="n">
        <v>1.8</v>
      </c>
      <c r="H27" s="11" t="n">
        <v>189</v>
      </c>
    </row>
    <row r="28">
      <c r="A28" s="12" t="n">
        <v>45769</v>
      </c>
      <c r="B28" s="13" t="inlineStr">
        <is>
          <t>INV-008</t>
        </is>
      </c>
      <c r="C28" s="14" t="inlineStr">
        <is>
          <t>Revenue</t>
        </is>
      </c>
      <c r="D28" s="13" t="inlineStr">
        <is>
          <t>Connoisseur Subscription</t>
        </is>
      </c>
      <c r="E28" s="13" t="inlineStr">
        <is>
          <t>Connoisseur plan billing – Q4</t>
        </is>
      </c>
      <c r="F28" s="15" t="n">
        <v>40</v>
      </c>
      <c r="G28" s="16" t="n">
        <v>22.99</v>
      </c>
      <c r="H28" s="16" t="n">
        <v>919.6</v>
      </c>
    </row>
    <row r="29">
      <c r="A29" s="7" t="n">
        <v>45770</v>
      </c>
      <c r="B29" s="8" t="inlineStr">
        <is>
          <t>COST-028</t>
        </is>
      </c>
      <c r="C29" s="9" t="inlineStr">
        <is>
          <t>Cost</t>
        </is>
      </c>
      <c r="D29" s="8" t="inlineStr">
        <is>
          <t>Fulfilment</t>
        </is>
      </c>
      <c r="E29" s="8" t="inlineStr">
        <is>
          <t>Fulfilment &amp; shipping – monthly</t>
        </is>
      </c>
      <c r="F29" s="10" t="n">
        <v>105</v>
      </c>
      <c r="G29" s="11" t="n">
        <v>2.4</v>
      </c>
      <c r="H29" s="11" t="n">
        <v>252</v>
      </c>
    </row>
    <row r="30">
      <c r="A30" s="12" t="n">
        <v>45791</v>
      </c>
      <c r="B30" s="13" t="inlineStr">
        <is>
          <t>INV-017</t>
        </is>
      </c>
      <c r="C30" s="14" t="inlineStr">
        <is>
          <t>Revenue</t>
        </is>
      </c>
      <c r="D30" s="13" t="inlineStr">
        <is>
          <t>B2B Corporate Orders</t>
        </is>
      </c>
      <c r="E30" s="13" t="inlineStr">
        <is>
          <t>Corporate order – client 5</t>
        </is>
      </c>
      <c r="F30" s="15" t="n">
        <v>1</v>
      </c>
      <c r="G30" s="16" t="n">
        <v>850</v>
      </c>
      <c r="H30" s="16" t="n">
        <v>850</v>
      </c>
    </row>
    <row r="31">
      <c r="A31" s="7" t="n">
        <v>45797</v>
      </c>
      <c r="B31" s="8" t="inlineStr">
        <is>
          <t>COST-005</t>
        </is>
      </c>
      <c r="C31" s="9" t="inlineStr">
        <is>
          <t>Cost</t>
        </is>
      </c>
      <c r="D31" s="8" t="inlineStr">
        <is>
          <t>Coffee Beans</t>
        </is>
      </c>
      <c r="E31" s="8" t="inlineStr">
        <is>
          <t>Coffee beans cost – monthly</t>
        </is>
      </c>
      <c r="F31" s="10" t="n">
        <v>105</v>
      </c>
      <c r="G31" s="11" t="n">
        <v>5.2</v>
      </c>
      <c r="H31" s="11" t="n">
        <v>546</v>
      </c>
    </row>
    <row r="32">
      <c r="A32" s="7" t="n">
        <v>45799</v>
      </c>
      <c r="B32" s="8" t="inlineStr">
        <is>
          <t>COST-029</t>
        </is>
      </c>
      <c r="C32" s="9" t="inlineStr">
        <is>
          <t>Cost</t>
        </is>
      </c>
      <c r="D32" s="8" t="inlineStr">
        <is>
          <t>Fulfilment</t>
        </is>
      </c>
      <c r="E32" s="8" t="inlineStr">
        <is>
          <t>Fulfilment &amp; shipping – monthly</t>
        </is>
      </c>
      <c r="F32" s="10" t="n">
        <v>105</v>
      </c>
      <c r="G32" s="11" t="n">
        <v>2.4</v>
      </c>
      <c r="H32" s="11" t="n">
        <v>252</v>
      </c>
    </row>
    <row r="33">
      <c r="A33" s="7" t="n">
        <v>45802</v>
      </c>
      <c r="B33" s="8" t="inlineStr">
        <is>
          <t>COST-017</t>
        </is>
      </c>
      <c r="C33" s="9" t="inlineStr">
        <is>
          <t>Cost</t>
        </is>
      </c>
      <c r="D33" s="8" t="inlineStr">
        <is>
          <t>Packaging</t>
        </is>
      </c>
      <c r="E33" s="8" t="inlineStr">
        <is>
          <t>Packaging &amp; materials – monthly</t>
        </is>
      </c>
      <c r="F33" s="10" t="n">
        <v>105</v>
      </c>
      <c r="G33" s="11" t="n">
        <v>1.8</v>
      </c>
      <c r="H33" s="11" t="n">
        <v>189</v>
      </c>
    </row>
    <row r="34">
      <c r="A34" s="12" t="n">
        <v>45820</v>
      </c>
      <c r="B34" s="13" t="inlineStr">
        <is>
          <t>INV-018</t>
        </is>
      </c>
      <c r="C34" s="14" t="inlineStr">
        <is>
          <t>Revenue</t>
        </is>
      </c>
      <c r="D34" s="13" t="inlineStr">
        <is>
          <t>B2B Corporate Orders</t>
        </is>
      </c>
      <c r="E34" s="13" t="inlineStr">
        <is>
          <t>Corporate order – client 6</t>
        </is>
      </c>
      <c r="F34" s="15" t="n">
        <v>1</v>
      </c>
      <c r="G34" s="16" t="n">
        <v>850</v>
      </c>
      <c r="H34" s="16" t="n">
        <v>850</v>
      </c>
    </row>
    <row r="35">
      <c r="A35" s="7" t="n">
        <v>45820</v>
      </c>
      <c r="B35" s="8" t="inlineStr">
        <is>
          <t>COST-030</t>
        </is>
      </c>
      <c r="C35" s="9" t="inlineStr">
        <is>
          <t>Cost</t>
        </is>
      </c>
      <c r="D35" s="8" t="inlineStr">
        <is>
          <t>Fulfilment</t>
        </is>
      </c>
      <c r="E35" s="8" t="inlineStr">
        <is>
          <t>Fulfilment &amp; shipping – monthly</t>
        </is>
      </c>
      <c r="F35" s="10" t="n">
        <v>105</v>
      </c>
      <c r="G35" s="11" t="n">
        <v>2.4</v>
      </c>
      <c r="H35" s="11" t="n">
        <v>252</v>
      </c>
    </row>
    <row r="36">
      <c r="A36" s="7" t="n">
        <v>45824</v>
      </c>
      <c r="B36" s="8" t="inlineStr">
        <is>
          <t>COST-018</t>
        </is>
      </c>
      <c r="C36" s="9" t="inlineStr">
        <is>
          <t>Cost</t>
        </is>
      </c>
      <c r="D36" s="8" t="inlineStr">
        <is>
          <t>Packaging</t>
        </is>
      </c>
      <c r="E36" s="8" t="inlineStr">
        <is>
          <t>Packaging &amp; materials – monthly</t>
        </is>
      </c>
      <c r="F36" s="10" t="n">
        <v>105</v>
      </c>
      <c r="G36" s="11" t="n">
        <v>1.8</v>
      </c>
      <c r="H36" s="11" t="n">
        <v>189</v>
      </c>
    </row>
    <row r="37">
      <c r="A37" s="7" t="n">
        <v>45830</v>
      </c>
      <c r="B37" s="8" t="inlineStr">
        <is>
          <t>COST-006</t>
        </is>
      </c>
      <c r="C37" s="9" t="inlineStr">
        <is>
          <t>Cost</t>
        </is>
      </c>
      <c r="D37" s="8" t="inlineStr">
        <is>
          <t>Coffee Beans</t>
        </is>
      </c>
      <c r="E37" s="8" t="inlineStr">
        <is>
          <t>Coffee beans cost – monthly</t>
        </is>
      </c>
      <c r="F37" s="10" t="n">
        <v>105</v>
      </c>
      <c r="G37" s="11" t="n">
        <v>5.2</v>
      </c>
      <c r="H37" s="11" t="n">
        <v>546</v>
      </c>
    </row>
    <row r="38">
      <c r="A38" s="12" t="n">
        <v>45844</v>
      </c>
      <c r="B38" s="13" t="inlineStr">
        <is>
          <t>INV-019</t>
        </is>
      </c>
      <c r="C38" s="14" t="inlineStr">
        <is>
          <t>Revenue</t>
        </is>
      </c>
      <c r="D38" s="13" t="inlineStr">
        <is>
          <t>B2B Corporate Orders</t>
        </is>
      </c>
      <c r="E38" s="13" t="inlineStr">
        <is>
          <t>Corporate order – client 7</t>
        </is>
      </c>
      <c r="F38" s="15" t="n">
        <v>1</v>
      </c>
      <c r="G38" s="16" t="n">
        <v>850</v>
      </c>
      <c r="H38" s="16" t="n">
        <v>850</v>
      </c>
    </row>
    <row r="39">
      <c r="A39" s="7" t="n">
        <v>45848</v>
      </c>
      <c r="B39" s="8" t="inlineStr">
        <is>
          <t>COST-007</t>
        </is>
      </c>
      <c r="C39" s="9" t="inlineStr">
        <is>
          <t>Cost</t>
        </is>
      </c>
      <c r="D39" s="8" t="inlineStr">
        <is>
          <t>Coffee Beans</t>
        </is>
      </c>
      <c r="E39" s="8" t="inlineStr">
        <is>
          <t>Coffee beans cost – monthly</t>
        </is>
      </c>
      <c r="F39" s="10" t="n">
        <v>105</v>
      </c>
      <c r="G39" s="11" t="n">
        <v>5.2</v>
      </c>
      <c r="H39" s="11" t="n">
        <v>546</v>
      </c>
    </row>
    <row r="40">
      <c r="A40" s="7" t="n">
        <v>45857</v>
      </c>
      <c r="B40" s="8" t="inlineStr">
        <is>
          <t>COST-019</t>
        </is>
      </c>
      <c r="C40" s="9" t="inlineStr">
        <is>
          <t>Cost</t>
        </is>
      </c>
      <c r="D40" s="8" t="inlineStr">
        <is>
          <t>Packaging</t>
        </is>
      </c>
      <c r="E40" s="8" t="inlineStr">
        <is>
          <t>Packaging &amp; materials – monthly</t>
        </is>
      </c>
      <c r="F40" s="10" t="n">
        <v>105</v>
      </c>
      <c r="G40" s="11" t="n">
        <v>1.8</v>
      </c>
      <c r="H40" s="11" t="n">
        <v>189</v>
      </c>
    </row>
    <row r="41">
      <c r="A41" s="7" t="n">
        <v>45861</v>
      </c>
      <c r="B41" s="8" t="inlineStr">
        <is>
          <t>COST-031</t>
        </is>
      </c>
      <c r="C41" s="9" t="inlineStr">
        <is>
          <t>Cost</t>
        </is>
      </c>
      <c r="D41" s="8" t="inlineStr">
        <is>
          <t>Fulfilment</t>
        </is>
      </c>
      <c r="E41" s="8" t="inlineStr">
        <is>
          <t>Fulfilment &amp; shipping – monthly</t>
        </is>
      </c>
      <c r="F41" s="10" t="n">
        <v>105</v>
      </c>
      <c r="G41" s="11" t="n">
        <v>2.4</v>
      </c>
      <c r="H41" s="11" t="n">
        <v>252</v>
      </c>
    </row>
    <row r="42">
      <c r="A42" s="12" t="n">
        <v>45881</v>
      </c>
      <c r="B42" s="13" t="inlineStr">
        <is>
          <t>INV-020</t>
        </is>
      </c>
      <c r="C42" s="14" t="inlineStr">
        <is>
          <t>Revenue</t>
        </is>
      </c>
      <c r="D42" s="13" t="inlineStr">
        <is>
          <t>B2B Corporate Orders</t>
        </is>
      </c>
      <c r="E42" s="13" t="inlineStr">
        <is>
          <t>Corporate order – client 8</t>
        </is>
      </c>
      <c r="F42" s="15" t="n">
        <v>1</v>
      </c>
      <c r="G42" s="16" t="n">
        <v>850</v>
      </c>
      <c r="H42" s="16" t="n">
        <v>850</v>
      </c>
    </row>
    <row r="43">
      <c r="A43" s="7" t="n">
        <v>45881</v>
      </c>
      <c r="B43" s="8" t="inlineStr">
        <is>
          <t>COST-032</t>
        </is>
      </c>
      <c r="C43" s="9" t="inlineStr">
        <is>
          <t>Cost</t>
        </is>
      </c>
      <c r="D43" s="8" t="inlineStr">
        <is>
          <t>Fulfilment</t>
        </is>
      </c>
      <c r="E43" s="8" t="inlineStr">
        <is>
          <t>Fulfilment &amp; shipping – monthly</t>
        </is>
      </c>
      <c r="F43" s="10" t="n">
        <v>105</v>
      </c>
      <c r="G43" s="11" t="n">
        <v>2.4</v>
      </c>
      <c r="H43" s="11" t="n">
        <v>252</v>
      </c>
    </row>
    <row r="44">
      <c r="A44" s="7" t="n">
        <v>45882</v>
      </c>
      <c r="B44" s="8" t="inlineStr">
        <is>
          <t>COST-008</t>
        </is>
      </c>
      <c r="C44" s="9" t="inlineStr">
        <is>
          <t>Cost</t>
        </is>
      </c>
      <c r="D44" s="8" t="inlineStr">
        <is>
          <t>Coffee Beans</t>
        </is>
      </c>
      <c r="E44" s="8" t="inlineStr">
        <is>
          <t>Coffee beans cost – monthly</t>
        </is>
      </c>
      <c r="F44" s="10" t="n">
        <v>105</v>
      </c>
      <c r="G44" s="11" t="n">
        <v>5.2</v>
      </c>
      <c r="H44" s="11" t="n">
        <v>546</v>
      </c>
    </row>
    <row r="45">
      <c r="A45" s="7" t="n">
        <v>45890</v>
      </c>
      <c r="B45" s="8" t="inlineStr">
        <is>
          <t>COST-020</t>
        </is>
      </c>
      <c r="C45" s="9" t="inlineStr">
        <is>
          <t>Cost</t>
        </is>
      </c>
      <c r="D45" s="8" t="inlineStr">
        <is>
          <t>Packaging</t>
        </is>
      </c>
      <c r="E45" s="8" t="inlineStr">
        <is>
          <t>Packaging &amp; materials – monthly</t>
        </is>
      </c>
      <c r="F45" s="10" t="n">
        <v>105</v>
      </c>
      <c r="G45" s="11" t="n">
        <v>1.8</v>
      </c>
      <c r="H45" s="11" t="n">
        <v>189</v>
      </c>
    </row>
    <row r="46">
      <c r="A46" s="7" t="n">
        <v>45905</v>
      </c>
      <c r="B46" s="8" t="inlineStr">
        <is>
          <t>COST-033</t>
        </is>
      </c>
      <c r="C46" s="9" t="inlineStr">
        <is>
          <t>Cost</t>
        </is>
      </c>
      <c r="D46" s="8" t="inlineStr">
        <is>
          <t>Fulfilment</t>
        </is>
      </c>
      <c r="E46" s="8" t="inlineStr">
        <is>
          <t>Fulfilment &amp; shipping – monthly</t>
        </is>
      </c>
      <c r="F46" s="10" t="n">
        <v>105</v>
      </c>
      <c r="G46" s="11" t="n">
        <v>2.4</v>
      </c>
      <c r="H46" s="11" t="n">
        <v>252</v>
      </c>
    </row>
    <row r="47">
      <c r="A47" s="7" t="n">
        <v>45919</v>
      </c>
      <c r="B47" s="8" t="inlineStr">
        <is>
          <t>COST-021</t>
        </is>
      </c>
      <c r="C47" s="9" t="inlineStr">
        <is>
          <t>Cost</t>
        </is>
      </c>
      <c r="D47" s="8" t="inlineStr">
        <is>
          <t>Packaging</t>
        </is>
      </c>
      <c r="E47" s="8" t="inlineStr">
        <is>
          <t>Packaging &amp; materials – monthly</t>
        </is>
      </c>
      <c r="F47" s="10" t="n">
        <v>105</v>
      </c>
      <c r="G47" s="11" t="n">
        <v>1.8</v>
      </c>
      <c r="H47" s="11" t="n">
        <v>189</v>
      </c>
    </row>
    <row r="48">
      <c r="A48" s="7" t="n">
        <v>45921</v>
      </c>
      <c r="B48" s="8" t="inlineStr">
        <is>
          <t>COST-009</t>
        </is>
      </c>
      <c r="C48" s="9" t="inlineStr">
        <is>
          <t>Cost</t>
        </is>
      </c>
      <c r="D48" s="8" t="inlineStr">
        <is>
          <t>Coffee Beans</t>
        </is>
      </c>
      <c r="E48" s="8" t="inlineStr">
        <is>
          <t>Coffee beans cost – monthly</t>
        </is>
      </c>
      <c r="F48" s="10" t="n">
        <v>105</v>
      </c>
      <c r="G48" s="11" t="n">
        <v>5.2</v>
      </c>
      <c r="H48" s="11" t="n">
        <v>546</v>
      </c>
    </row>
    <row r="49">
      <c r="A49" s="12" t="n">
        <v>45923</v>
      </c>
      <c r="B49" s="13" t="inlineStr">
        <is>
          <t>INV-021</t>
        </is>
      </c>
      <c r="C49" s="14" t="inlineStr">
        <is>
          <t>Revenue</t>
        </is>
      </c>
      <c r="D49" s="13" t="inlineStr">
        <is>
          <t>B2B Corporate Orders</t>
        </is>
      </c>
      <c r="E49" s="13" t="inlineStr">
        <is>
          <t>Corporate order – client 9</t>
        </is>
      </c>
      <c r="F49" s="15" t="n">
        <v>1</v>
      </c>
      <c r="G49" s="16" t="n">
        <v>850</v>
      </c>
      <c r="H49" s="16" t="n">
        <v>850</v>
      </c>
    </row>
    <row r="50">
      <c r="A50" s="12" t="n">
        <v>45937</v>
      </c>
      <c r="B50" s="13" t="inlineStr">
        <is>
          <t>INV-022</t>
        </is>
      </c>
      <c r="C50" s="14" t="inlineStr">
        <is>
          <t>Revenue</t>
        </is>
      </c>
      <c r="D50" s="13" t="inlineStr">
        <is>
          <t>B2B Corporate Orders</t>
        </is>
      </c>
      <c r="E50" s="13" t="inlineStr">
        <is>
          <t>Corporate order – client 10</t>
        </is>
      </c>
      <c r="F50" s="15" t="n">
        <v>1</v>
      </c>
      <c r="G50" s="16" t="n">
        <v>850</v>
      </c>
      <c r="H50" s="16" t="n">
        <v>850</v>
      </c>
    </row>
    <row r="51">
      <c r="A51" s="7" t="n">
        <v>45937</v>
      </c>
      <c r="B51" s="8" t="inlineStr">
        <is>
          <t>COST-034</t>
        </is>
      </c>
      <c r="C51" s="9" t="inlineStr">
        <is>
          <t>Cost</t>
        </is>
      </c>
      <c r="D51" s="8" t="inlineStr">
        <is>
          <t>Fulfilment</t>
        </is>
      </c>
      <c r="E51" s="8" t="inlineStr">
        <is>
          <t>Fulfilment &amp; shipping – monthly</t>
        </is>
      </c>
      <c r="F51" s="10" t="n">
        <v>105</v>
      </c>
      <c r="G51" s="11" t="n">
        <v>2.4</v>
      </c>
      <c r="H51" s="11" t="n">
        <v>252</v>
      </c>
    </row>
    <row r="52">
      <c r="A52" s="7" t="n">
        <v>45938</v>
      </c>
      <c r="B52" s="8" t="inlineStr">
        <is>
          <t>COST-022</t>
        </is>
      </c>
      <c r="C52" s="9" t="inlineStr">
        <is>
          <t>Cost</t>
        </is>
      </c>
      <c r="D52" s="8" t="inlineStr">
        <is>
          <t>Packaging</t>
        </is>
      </c>
      <c r="E52" s="8" t="inlineStr">
        <is>
          <t>Packaging &amp; materials – monthly</t>
        </is>
      </c>
      <c r="F52" s="10" t="n">
        <v>105</v>
      </c>
      <c r="G52" s="11" t="n">
        <v>1.8</v>
      </c>
      <c r="H52" s="11" t="n">
        <v>189</v>
      </c>
    </row>
    <row r="53">
      <c r="A53" s="7" t="n">
        <v>45954</v>
      </c>
      <c r="B53" s="8" t="inlineStr">
        <is>
          <t>COST-010</t>
        </is>
      </c>
      <c r="C53" s="9" t="inlineStr">
        <is>
          <t>Cost</t>
        </is>
      </c>
      <c r="D53" s="8" t="inlineStr">
        <is>
          <t>Coffee Beans</t>
        </is>
      </c>
      <c r="E53" s="8" t="inlineStr">
        <is>
          <t>Coffee beans cost – monthly</t>
        </is>
      </c>
      <c r="F53" s="10" t="n">
        <v>105</v>
      </c>
      <c r="G53" s="11" t="n">
        <v>5.2</v>
      </c>
      <c r="H53" s="11" t="n">
        <v>546</v>
      </c>
    </row>
    <row r="54">
      <c r="A54" s="12" t="n">
        <v>45968</v>
      </c>
      <c r="B54" s="13" t="inlineStr">
        <is>
          <t>INV-023</t>
        </is>
      </c>
      <c r="C54" s="14" t="inlineStr">
        <is>
          <t>Revenue</t>
        </is>
      </c>
      <c r="D54" s="13" t="inlineStr">
        <is>
          <t>B2B Corporate Orders</t>
        </is>
      </c>
      <c r="E54" s="13" t="inlineStr">
        <is>
          <t>Corporate order – client 11</t>
        </is>
      </c>
      <c r="F54" s="15" t="n">
        <v>1</v>
      </c>
      <c r="G54" s="16" t="n">
        <v>850</v>
      </c>
      <c r="H54" s="16" t="n">
        <v>850</v>
      </c>
    </row>
    <row r="55">
      <c r="A55" s="7" t="n">
        <v>45973</v>
      </c>
      <c r="B55" s="8" t="inlineStr">
        <is>
          <t>COST-023</t>
        </is>
      </c>
      <c r="C55" s="9" t="inlineStr">
        <is>
          <t>Cost</t>
        </is>
      </c>
      <c r="D55" s="8" t="inlineStr">
        <is>
          <t>Packaging</t>
        </is>
      </c>
      <c r="E55" s="8" t="inlineStr">
        <is>
          <t>Packaging &amp; materials – monthly</t>
        </is>
      </c>
      <c r="F55" s="10" t="n">
        <v>105</v>
      </c>
      <c r="G55" s="11" t="n">
        <v>1.8</v>
      </c>
      <c r="H55" s="11" t="n">
        <v>189</v>
      </c>
    </row>
    <row r="56">
      <c r="A56" s="7" t="n">
        <v>45979</v>
      </c>
      <c r="B56" s="8" t="inlineStr">
        <is>
          <t>COST-011</t>
        </is>
      </c>
      <c r="C56" s="9" t="inlineStr">
        <is>
          <t>Cost</t>
        </is>
      </c>
      <c r="D56" s="8" t="inlineStr">
        <is>
          <t>Coffee Beans</t>
        </is>
      </c>
      <c r="E56" s="8" t="inlineStr">
        <is>
          <t>Coffee beans cost – monthly</t>
        </is>
      </c>
      <c r="F56" s="10" t="n">
        <v>105</v>
      </c>
      <c r="G56" s="11" t="n">
        <v>5.2</v>
      </c>
      <c r="H56" s="11" t="n">
        <v>546</v>
      </c>
    </row>
    <row r="57">
      <c r="A57" s="7" t="n">
        <v>45986</v>
      </c>
      <c r="B57" s="8" t="inlineStr">
        <is>
          <t>COST-035</t>
        </is>
      </c>
      <c r="C57" s="9" t="inlineStr">
        <is>
          <t>Cost</t>
        </is>
      </c>
      <c r="D57" s="8" t="inlineStr">
        <is>
          <t>Fulfilment</t>
        </is>
      </c>
      <c r="E57" s="8" t="inlineStr">
        <is>
          <t>Fulfilment &amp; shipping – monthly</t>
        </is>
      </c>
      <c r="F57" s="10" t="n">
        <v>105</v>
      </c>
      <c r="G57" s="11" t="n">
        <v>2.4</v>
      </c>
      <c r="H57" s="11" t="n">
        <v>252</v>
      </c>
    </row>
    <row r="58">
      <c r="A58" s="7" t="n">
        <v>45997</v>
      </c>
      <c r="B58" s="8" t="inlineStr">
        <is>
          <t>COST-036</t>
        </is>
      </c>
      <c r="C58" s="9" t="inlineStr">
        <is>
          <t>Cost</t>
        </is>
      </c>
      <c r="D58" s="8" t="inlineStr">
        <is>
          <t>Fulfilment</t>
        </is>
      </c>
      <c r="E58" s="8" t="inlineStr">
        <is>
          <t>Fulfilment &amp; shipping – monthly</t>
        </is>
      </c>
      <c r="F58" s="10" t="n">
        <v>105</v>
      </c>
      <c r="G58" s="11" t="n">
        <v>2.4</v>
      </c>
      <c r="H58" s="11" t="n">
        <v>252</v>
      </c>
    </row>
    <row r="59">
      <c r="A59" s="7" t="n">
        <v>46002</v>
      </c>
      <c r="B59" s="8" t="inlineStr">
        <is>
          <t>COST-012</t>
        </is>
      </c>
      <c r="C59" s="9" t="inlineStr">
        <is>
          <t>Cost</t>
        </is>
      </c>
      <c r="D59" s="8" t="inlineStr">
        <is>
          <t>Coffee Beans</t>
        </is>
      </c>
      <c r="E59" s="8" t="inlineStr">
        <is>
          <t>Coffee beans cost – monthly</t>
        </is>
      </c>
      <c r="F59" s="10" t="n">
        <v>105</v>
      </c>
      <c r="G59" s="11" t="n">
        <v>5.2</v>
      </c>
      <c r="H59" s="11" t="n">
        <v>546</v>
      </c>
    </row>
    <row r="60">
      <c r="A60" s="7" t="n">
        <v>46003</v>
      </c>
      <c r="B60" s="8" t="inlineStr">
        <is>
          <t>COST-024</t>
        </is>
      </c>
      <c r="C60" s="9" t="inlineStr">
        <is>
          <t>Cost</t>
        </is>
      </c>
      <c r="D60" s="8" t="inlineStr">
        <is>
          <t>Packaging</t>
        </is>
      </c>
      <c r="E60" s="8" t="inlineStr">
        <is>
          <t>Packaging &amp; materials – monthly</t>
        </is>
      </c>
      <c r="F60" s="10" t="n">
        <v>105</v>
      </c>
      <c r="G60" s="11" t="n">
        <v>1.8</v>
      </c>
      <c r="H60" s="11" t="n">
        <v>189</v>
      </c>
    </row>
    <row r="61">
      <c r="A61" s="12" t="n">
        <v>46011</v>
      </c>
      <c r="B61" s="13" t="inlineStr">
        <is>
          <t>INV-024</t>
        </is>
      </c>
      <c r="C61" s="14" t="inlineStr">
        <is>
          <t>Revenue</t>
        </is>
      </c>
      <c r="D61" s="13" t="inlineStr">
        <is>
          <t>B2B Corporate Orders</t>
        </is>
      </c>
      <c r="E61" s="13" t="inlineStr">
        <is>
          <t>Corporate order – client 12</t>
        </is>
      </c>
      <c r="F61" s="15" t="n">
        <v>1</v>
      </c>
      <c r="G61" s="16" t="n">
        <v>850</v>
      </c>
      <c r="H61" s="16" t="n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</cols>
  <sheetData>
    <row r="1" ht="25" customHeight="1">
      <c r="A1" s="1" t="inlineStr">
        <is>
          <t>📊  Reference Table  —  Standard Unit Rates  |  FY 2025</t>
        </is>
      </c>
    </row>
    <row r="2">
      <c r="A2" s="17" t="inlineStr">
        <is>
          <t>Category</t>
        </is>
      </c>
      <c r="B2" s="17" t="inlineStr">
        <is>
          <t>Standard Rate (€)</t>
        </is>
      </c>
      <c r="C2" s="17" t="inlineStr">
        <is>
          <t>Unit / Basis</t>
        </is>
      </c>
    </row>
    <row r="3">
      <c r="A3" s="18" t="inlineStr">
        <is>
          <t>Explorer Subscription</t>
        </is>
      </c>
      <c r="B3" s="16" t="n">
        <v>14.99</v>
      </c>
      <c r="C3" s="19" t="inlineStr">
        <is>
          <t>per box / month</t>
        </is>
      </c>
    </row>
    <row r="4">
      <c r="A4" s="20" t="inlineStr">
        <is>
          <t>Connoisseur Subscription</t>
        </is>
      </c>
      <c r="B4" s="16" t="n">
        <v>22.99</v>
      </c>
      <c r="C4" s="21" t="inlineStr">
        <is>
          <t>per box / month</t>
        </is>
      </c>
    </row>
    <row r="5">
      <c r="A5" s="18" t="inlineStr">
        <is>
          <t>Roasters Choice</t>
        </is>
      </c>
      <c r="B5" s="16" t="n">
        <v>34.99</v>
      </c>
      <c r="C5" s="19" t="inlineStr">
        <is>
          <t>per box / month</t>
        </is>
      </c>
    </row>
    <row r="6">
      <c r="A6" s="20" t="inlineStr">
        <is>
          <t>B2B Corporate Orders</t>
        </is>
      </c>
      <c r="B6" s="16" t="n">
        <v>850</v>
      </c>
      <c r="C6" s="21" t="inlineStr">
        <is>
          <t>per order</t>
        </is>
      </c>
    </row>
    <row r="7">
      <c r="A7" s="18" t="inlineStr">
        <is>
          <t>Coffee Beans</t>
        </is>
      </c>
      <c r="B7" s="16" t="n">
        <v>5.2</v>
      </c>
      <c r="C7" s="19" t="inlineStr">
        <is>
          <t>per box</t>
        </is>
      </c>
    </row>
    <row r="8">
      <c r="A8" s="20" t="inlineStr">
        <is>
          <t>Packaging</t>
        </is>
      </c>
      <c r="B8" s="16" t="n">
        <v>1.8</v>
      </c>
      <c r="C8" s="21" t="inlineStr">
        <is>
          <t>per box</t>
        </is>
      </c>
    </row>
    <row r="9">
      <c r="A9" s="18" t="inlineStr">
        <is>
          <t>Fulfilment</t>
        </is>
      </c>
      <c r="B9" s="16" t="n">
        <v>2.4</v>
      </c>
      <c r="C9" s="19" t="inlineStr">
        <is>
          <t>per box</t>
        </is>
      </c>
    </row>
    <row r="11">
      <c r="A11" s="22" t="inlineStr">
        <is>
          <t>💡  Use VLOOKUP to pull rates from this table into the P&amp;L:  =VLOOKUP("Category Name", Reference!A:C, 2, FALSE)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52" customWidth="1" min="4" max="4"/>
  </cols>
  <sheetData>
    <row r="1" ht="28" customHeight="1">
      <c r="A1" s="23" t="inlineStr">
        <is>
          <t>🏷️  Fixed Costs  —  Monthly Unit Values  |  Name These Cells Before Using Them in the P&amp;L</t>
        </is>
      </c>
    </row>
    <row r="2" ht="48" customHeight="1">
      <c r="A2" s="24" t="inlineStr">
        <is>
          <t>📌  CELL NAMING:  Instead of referencing a cell by its address (like B5), you can give it a meaningful name — then use that name in any formula. This makes your formulas readable and prevents errors when rows are inserted or deleted.</t>
        </is>
      </c>
    </row>
    <row r="3" ht="60" customHeight="1">
      <c r="A3" s="25" t="inlineStr">
        <is>
          <t>HOW TO NAME A CELL:  ① Click the cell you want to name (e.g. B6)  →  ② Click the Name Box (top-left corner, shows the cell address e.g. 'B6')  →  ③ Type the suggested name (e.g. Salaries_Mo)  →  ④ Press Enter to confirm.
Then in the P&amp;L sheet you can write:  =Salaries_Mo * 12  instead of  ='Fixed Costs'!B6 * 12</t>
        </is>
      </c>
    </row>
    <row r="4">
      <c r="A4" s="17" t="inlineStr">
        <is>
          <t>Cost Item</t>
        </is>
      </c>
      <c r="B4" s="17" t="inlineStr">
        <is>
          <t>Monthly Cost (€)</t>
        </is>
      </c>
      <c r="C4" s="17" t="inlineStr">
        <is>
          <t>Suggested Cell Name</t>
        </is>
      </c>
      <c r="D4" s="17" t="inlineStr">
        <is>
          <t>Your Task</t>
        </is>
      </c>
    </row>
    <row r="5" ht="42" customHeight="1">
      <c r="A5" s="20" t="inlineStr">
        <is>
          <t>Salaries (4 staff)</t>
        </is>
      </c>
      <c r="B5" s="16" t="n">
        <v>8500</v>
      </c>
      <c r="C5" s="26" t="inlineStr">
        <is>
          <t>Salaries_Mo</t>
        </is>
      </c>
      <c r="D5" s="27" t="inlineStr">
        <is>
          <t>① Click cell B5  →  ② Click the Name Box (shows 'B5')  →  ③ Type 'Salaries_Mo'  →  ④ Press Enter.
Then in the P&amp;L, reference it as:  =Salaries_Mo * 12</t>
        </is>
      </c>
    </row>
    <row r="6" ht="42" customHeight="1">
      <c r="A6" s="8" t="inlineStr">
        <is>
          <t>Roasting facility rent</t>
        </is>
      </c>
      <c r="B6" s="16" t="n">
        <v>1200</v>
      </c>
      <c r="C6" s="26" t="inlineStr">
        <is>
          <t>RoastingFacility_Mo</t>
        </is>
      </c>
      <c r="D6" s="28" t="inlineStr">
        <is>
          <t>① Click cell B6  →  ② Click the Name Box (shows 'B6')  →  ③ Type 'RoastingFacility_Mo'  →  ④ Press Enter.
Then in the P&amp;L, reference it as:  =RoastingFacility_Mo * 12</t>
        </is>
      </c>
    </row>
    <row r="7" ht="42" customHeight="1">
      <c r="A7" s="20" t="inlineStr">
        <is>
          <t>Software &amp; tools</t>
        </is>
      </c>
      <c r="B7" s="16" t="n">
        <v>180</v>
      </c>
      <c r="C7" s="26" t="inlineStr">
        <is>
          <t>SoftwareTools_Mo</t>
        </is>
      </c>
      <c r="D7" s="27" t="inlineStr">
        <is>
          <t>① Click cell B7  →  ② Click the Name Box (shows 'B7')  →  ③ Type 'SoftwareTools_Mo'  →  ④ Press Enter.
Then in the P&amp;L, reference it as:  =SoftwareTools_Mo * 12</t>
        </is>
      </c>
    </row>
    <row r="8" ht="42" customHeight="1">
      <c r="A8" s="8" t="inlineStr">
        <is>
          <t>Marketing &amp; social media</t>
        </is>
      </c>
      <c r="B8" s="16" t="n">
        <v>600</v>
      </c>
      <c r="C8" s="26" t="inlineStr">
        <is>
          <t>MarketingSocial_Mo</t>
        </is>
      </c>
      <c r="D8" s="28" t="inlineStr">
        <is>
          <t>① Click cell B8  →  ② Click the Name Box (shows 'B8')  →  ③ Type 'MarketingSocial_Mo'  →  ④ Press Enter.
Then in the P&amp;L, reference it as:  =MarketingSocial_Mo * 12</t>
        </is>
      </c>
    </row>
    <row r="10" ht="42" customHeight="1">
      <c r="A10" s="29" t="inlineStr">
        <is>
          <t>✅  Once you have named all cells above, go to the P&amp;L sheet and write the fixed cost formulas using the cell names — e.g. =Salaries_Mo * 12. You can verify your names under Formulas → Name Manager.</t>
        </is>
      </c>
    </row>
  </sheetData>
  <mergeCells count="4">
    <mergeCell ref="A1:D1"/>
    <mergeCell ref="A10:D10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18" customWidth="1" min="3" max="3"/>
    <col width="6" customWidth="1" min="4" max="4"/>
  </cols>
  <sheetData>
    <row r="1" ht="30" customHeight="1">
      <c r="A1" s="30" t="inlineStr">
        <is>
          <t xml:space="preserve">  Nomad Bean ☕  |  P&amp;L Financial Model  |  FY 2025  (Build from Raw Data)</t>
        </is>
      </c>
    </row>
    <row r="2" ht="20" customHeight="1">
      <c r="A2" s="31" t="inlineStr">
        <is>
          <t>Line Item</t>
        </is>
      </c>
      <c r="B2" s="32" t="inlineStr">
        <is>
          <t>What your formula should do  (translate this into Excel)</t>
        </is>
      </c>
      <c r="C2" s="33" t="inlineStr">
        <is>
          <t>Your Formula →</t>
        </is>
      </c>
      <c r="D2" s="20" t="inlineStr"/>
    </row>
    <row r="3">
      <c r="A3" s="34" t="inlineStr">
        <is>
          <t xml:space="preserve">  1.  REVENUE</t>
        </is>
      </c>
    </row>
    <row r="4" ht="32" customHeight="1">
      <c r="A4" s="20" t="inlineStr">
        <is>
          <t xml:space="preserve">    Explorer Subscription</t>
        </is>
      </c>
      <c r="B4" s="35" t="inlineStr">
        <is>
          <t>In the Raw Data sheet, find every row where the Category column says "Explorer Subscription" and add up all the values in the Total column</t>
        </is>
      </c>
      <c r="C4" s="36" t="n"/>
      <c r="D4" s="37" t="inlineStr">
        <is>
          <t>€</t>
        </is>
      </c>
    </row>
    <row r="5" ht="32" customHeight="1">
      <c r="A5" s="20" t="inlineStr">
        <is>
          <t xml:space="preserve">    Connoisseur Subscription</t>
        </is>
      </c>
      <c r="B5" s="35" t="inlineStr">
        <is>
          <t>In the Raw Data sheet, find every row where the Category column says "Connoisseur Subscription" and add up all the values in the Total column</t>
        </is>
      </c>
      <c r="C5" s="36" t="n"/>
      <c r="D5" s="37" t="inlineStr">
        <is>
          <t>€</t>
        </is>
      </c>
    </row>
    <row r="6" ht="32" customHeight="1">
      <c r="A6" s="20" t="inlineStr">
        <is>
          <t xml:space="preserve">    Roasters Choice</t>
        </is>
      </c>
      <c r="B6" s="35" t="inlineStr">
        <is>
          <t>In the Raw Data sheet, find every row where the Category column says "Roasters Choice" and add up all the values in the Total column</t>
        </is>
      </c>
      <c r="C6" s="36" t="n"/>
      <c r="D6" s="37" t="inlineStr">
        <is>
          <t>€</t>
        </is>
      </c>
    </row>
    <row r="7" ht="32" customHeight="1">
      <c r="A7" s="20" t="inlineStr">
        <is>
          <t xml:space="preserve">    B2B Corporate Orders</t>
        </is>
      </c>
      <c r="B7" s="35" t="inlineStr">
        <is>
          <t>In the Raw Data sheet, find every row where the Category column says "B2B Corporate Orders" and add up all the values in the Total column</t>
        </is>
      </c>
      <c r="C7" s="36" t="n"/>
      <c r="D7" s="37" t="inlineStr">
        <is>
          <t>€</t>
        </is>
      </c>
    </row>
    <row r="8">
      <c r="A8" s="38" t="inlineStr">
        <is>
          <t xml:space="preserve">    TOTAL REVENUE</t>
        </is>
      </c>
      <c r="B8" s="35" t="inlineStr">
        <is>
          <t>Add up all revenue lines above — this cell is already written for you</t>
        </is>
      </c>
      <c r="C8" s="39">
        <f>SUM(C4:C7)</f>
        <v/>
      </c>
      <c r="D8" s="37" t="inlineStr">
        <is>
          <t>€</t>
        </is>
      </c>
    </row>
    <row r="9">
      <c r="A9" s="34" t="inlineStr">
        <is>
          <t xml:space="preserve">  2.  COST OF GOODS SOLD  (Variable Costs)</t>
        </is>
      </c>
    </row>
    <row r="10" ht="32" customHeight="1">
      <c r="A10" s="20" t="inlineStr">
        <is>
          <t xml:space="preserve">    Coffee Beans</t>
        </is>
      </c>
      <c r="B10" s="35" t="inlineStr">
        <is>
          <t>In the Raw Data sheet, find every row where the Category column says "Coffee Beans" and add up all the values in the Total column</t>
        </is>
      </c>
      <c r="C10" s="36" t="n"/>
      <c r="D10" s="37" t="inlineStr">
        <is>
          <t>€</t>
        </is>
      </c>
    </row>
    <row r="11" ht="32" customHeight="1">
      <c r="A11" s="20" t="inlineStr">
        <is>
          <t xml:space="preserve">    Packaging</t>
        </is>
      </c>
      <c r="B11" s="35" t="inlineStr">
        <is>
          <t>In the Raw Data sheet, find every row where the Category column says "Packaging" and add up all the values in the Total column</t>
        </is>
      </c>
      <c r="C11" s="36" t="n"/>
      <c r="D11" s="37" t="inlineStr">
        <is>
          <t>€</t>
        </is>
      </c>
    </row>
    <row r="12" ht="32" customHeight="1">
      <c r="A12" s="20" t="inlineStr">
        <is>
          <t xml:space="preserve">    Fulfilment</t>
        </is>
      </c>
      <c r="B12" s="35" t="inlineStr">
        <is>
          <t>In the Raw Data sheet, find every row where the Category column says "Fulfilment" and add up all the values in the Total column</t>
        </is>
      </c>
      <c r="C12" s="36" t="n"/>
      <c r="D12" s="37" t="inlineStr">
        <is>
          <t>€</t>
        </is>
      </c>
    </row>
    <row r="13">
      <c r="A13" s="38" t="inlineStr">
        <is>
          <t xml:space="preserve">    TOTAL COGS</t>
        </is>
      </c>
      <c r="B13" s="35" t="inlineStr">
        <is>
          <t>Add up all cost lines above — already written</t>
        </is>
      </c>
      <c r="C13" s="39">
        <f>SUM(C10:C12)</f>
        <v/>
      </c>
      <c r="D13" s="37" t="inlineStr">
        <is>
          <t>€</t>
        </is>
      </c>
    </row>
    <row r="14">
      <c r="A14" s="34" t="inlineStr">
        <is>
          <t xml:space="preserve">  3.  GROSS PROFIT</t>
        </is>
      </c>
    </row>
    <row r="15">
      <c r="A15" s="20" t="inlineStr">
        <is>
          <t xml:space="preserve">    Gross Profit</t>
        </is>
      </c>
      <c r="B15" s="35" t="inlineStr">
        <is>
          <t>Subtract Total COGS from Total Revenue</t>
        </is>
      </c>
      <c r="C15" s="36" t="n"/>
      <c r="D15" s="37" t="inlineStr">
        <is>
          <t>€</t>
        </is>
      </c>
    </row>
    <row r="16" ht="32" customHeight="1">
      <c r="A16" s="20" t="inlineStr">
        <is>
          <t xml:space="preserve">    Gross Margin %</t>
        </is>
      </c>
      <c r="B16" s="35" t="inlineStr">
        <is>
          <t>Divide Gross Profit by Total Revenue — then format this cell as a percentage</t>
        </is>
      </c>
      <c r="C16" s="36" t="n"/>
      <c r="D16" s="37" t="inlineStr">
        <is>
          <t>%</t>
        </is>
      </c>
    </row>
    <row r="17">
      <c r="A17" s="40" t="inlineStr">
        <is>
          <t xml:space="preserve">  🔍  VLOOKUP Check  —  Look Up Standard Rates from the Reference Sheet</t>
        </is>
      </c>
    </row>
    <row r="18" ht="40" customHeight="1">
      <c r="A18" s="20" t="inlineStr">
        <is>
          <t xml:space="preserve">    Standard rate for "Explorer Subscription"</t>
        </is>
      </c>
      <c r="B18" s="35" t="inlineStr">
        <is>
          <t>Go to the Reference sheet and find the row for "Explorer Subscription". Write a formula that looks it up by name and returns the value in the Standard Rate column</t>
        </is>
      </c>
      <c r="C18" s="36" t="n"/>
      <c r="D18" s="37" t="inlineStr">
        <is>
          <t>€</t>
        </is>
      </c>
    </row>
    <row r="19" ht="32" customHeight="1">
      <c r="A19" s="20" t="inlineStr">
        <is>
          <t xml:space="preserve">    Standard rate for "Coffee Beans"</t>
        </is>
      </c>
      <c r="B19" s="35" t="inlineStr">
        <is>
          <t>Same as above — look up "Coffee Beans" in the Reference sheet and return its standard rate</t>
        </is>
      </c>
      <c r="C19" s="36" t="n"/>
      <c r="D19" s="37" t="inlineStr">
        <is>
          <t>€</t>
        </is>
      </c>
    </row>
    <row r="20">
      <c r="A20" s="34" t="inlineStr">
        <is>
          <t xml:space="preserve">  4.  FIXED &amp; OPERATING COSTS  —  Reference Named Cells from the Fixed Costs Sheet</t>
        </is>
      </c>
    </row>
    <row r="21" ht="36" customHeight="1">
      <c r="A21" s="24" t="inlineStr">
        <is>
          <t>⚠️  Before writing these formulas: go to the Fixed Costs sheet and name each monthly cost cell using the suggested cell names. Then come back here and reference them by name.</t>
        </is>
      </c>
    </row>
    <row r="22" ht="32" customHeight="1">
      <c r="A22" s="20" t="inlineStr">
        <is>
          <t xml:space="preserve">    Salaries (4 staff)  [per month × 12]</t>
        </is>
      </c>
      <c r="B22" s="35" t="inlineStr">
        <is>
          <t>Reference the cell named "Salaries_Mo" from the Fixed Costs sheet and multiply it by 12 to get the annual cost</t>
        </is>
      </c>
      <c r="C22" s="36" t="n"/>
      <c r="D22" s="37" t="inlineStr">
        <is>
          <t>€</t>
        </is>
      </c>
    </row>
    <row r="23" ht="32" customHeight="1">
      <c r="A23" s="20" t="inlineStr">
        <is>
          <t xml:space="preserve">    Roasting facility rent  [per month × 12]</t>
        </is>
      </c>
      <c r="B23" s="35" t="inlineStr">
        <is>
          <t>Reference the cell named "RoastingFacility_Mo" from the Fixed Costs sheet and multiply it by 12 to get the annual cost</t>
        </is>
      </c>
      <c r="C23" s="36" t="n"/>
      <c r="D23" s="37" t="inlineStr">
        <is>
          <t>€</t>
        </is>
      </c>
    </row>
    <row r="24" ht="32" customHeight="1">
      <c r="A24" s="20" t="inlineStr">
        <is>
          <t xml:space="preserve">    Software &amp; tools  [per month × 12]</t>
        </is>
      </c>
      <c r="B24" s="35" t="inlineStr">
        <is>
          <t>Reference the cell named "SoftwareTools_Mo" from the Fixed Costs sheet and multiply it by 12 to get the annual cost</t>
        </is>
      </c>
      <c r="C24" s="36" t="n"/>
      <c r="D24" s="37" t="inlineStr">
        <is>
          <t>€</t>
        </is>
      </c>
    </row>
    <row r="25" ht="32" customHeight="1">
      <c r="A25" s="20" t="inlineStr">
        <is>
          <t xml:space="preserve">    Marketing &amp; social media  [per month × 12]</t>
        </is>
      </c>
      <c r="B25" s="35" t="inlineStr">
        <is>
          <t>Reference the cell named "MarketingSocial_Mo" from the Fixed Costs sheet and multiply it by 12 to get the annual cost</t>
        </is>
      </c>
      <c r="C25" s="36" t="n"/>
      <c r="D25" s="37" t="inlineStr">
        <is>
          <t>€</t>
        </is>
      </c>
    </row>
    <row r="26">
      <c r="A26" s="38" t="inlineStr">
        <is>
          <t xml:space="preserve">    TOTAL FIXED COSTS</t>
        </is>
      </c>
      <c r="B26" s="35" t="inlineStr">
        <is>
          <t>Add up all fixed cost lines above — already written</t>
        </is>
      </c>
      <c r="C26" s="39">
        <f>SUM(C22:C25)</f>
        <v/>
      </c>
      <c r="D26" s="37" t="inlineStr">
        <is>
          <t>€</t>
        </is>
      </c>
    </row>
    <row r="27">
      <c r="A27" s="34" t="inlineStr">
        <is>
          <t xml:space="preserve">  5.  OPERATING PROFIT (EBIT)</t>
        </is>
      </c>
    </row>
    <row r="28">
      <c r="A28" s="20" t="inlineStr">
        <is>
          <t xml:space="preserve">    Operating Profit / EBIT</t>
        </is>
      </c>
      <c r="B28" s="35" t="inlineStr">
        <is>
          <t>Subtract Total Fixed Costs from Gross Profit</t>
        </is>
      </c>
      <c r="C28" s="36" t="n"/>
      <c r="D28" s="37" t="inlineStr">
        <is>
          <t>€</t>
        </is>
      </c>
    </row>
    <row r="29">
      <c r="A29" s="34" t="inlineStr">
        <is>
          <t xml:space="preserve">  6.  IF / IFS  —  Business Logic Flags</t>
        </is>
      </c>
    </row>
    <row r="30" ht="40" customHeight="1">
      <c r="A30" s="20" t="inlineStr">
        <is>
          <t xml:space="preserve">    Business Status</t>
        </is>
      </c>
      <c r="B30" s="35" t="inlineStr">
        <is>
          <t>Check whether EBIT (the cell directly above) is greater than zero. If it is, show the text '✅ Profitable'. If it is not, show '❌ Loss'.</t>
        </is>
      </c>
      <c r="C30" s="36" t="n"/>
      <c r="D30" s="21" t="inlineStr"/>
    </row>
    <row r="31" ht="48" customHeight="1">
      <c r="A31" s="20" t="inlineStr">
        <is>
          <t xml:space="preserve">    Margin Status</t>
        </is>
      </c>
      <c r="B31" s="35" t="inlineStr">
        <is>
          <t>Check the Gross Margin % (row 16). If it is above 50% show 'High margin', if it is above 30% show 'Moderate', otherwise show 'Low margin'. Use IFS for multiple conditions.</t>
        </is>
      </c>
      <c r="C31" s="36" t="n"/>
      <c r="D31" s="21" t="inlineStr"/>
    </row>
    <row r="33" ht="40" customHeight="1">
      <c r="A33" s="41" t="inlineStr">
        <is>
          <t>📌  Coffee subscription — tiered monthly plans + B2B orders; COGS are per-box variable costs.</t>
        </is>
      </c>
    </row>
  </sheetData>
  <mergeCells count="10">
    <mergeCell ref="A1:D1"/>
    <mergeCell ref="A17:D17"/>
    <mergeCell ref="A9:D9"/>
    <mergeCell ref="A27:D27"/>
    <mergeCell ref="A3:D3"/>
    <mergeCell ref="A20:D20"/>
    <mergeCell ref="A21:D21"/>
    <mergeCell ref="A29:D29"/>
    <mergeCell ref="A33:D3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2026-05-28T22:31:46Z</dcterms:created>
  <dcterms:modified xmlns:dcterms="http://purl.org/dc/terms/" xmlns:xsi="http://www.w3.org/2001/XMLSchema-instance" xsi:type="dcterms:W3CDTF">2026-05-28T22:31:46Z</dcterms:modified>
</cp:coreProperties>
</file>