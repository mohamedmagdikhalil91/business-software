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Financial 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BF360C"/>
      <sz val="11"/>
    </font>
    <font>
      <name val="Arial"/>
      <color rgb="002D2D2D"/>
      <sz val="10"/>
    </font>
    <font>
      <name val="Arial"/>
      <b val="1"/>
      <color rgb="00BF360C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565C0"/>
      <sz val="10"/>
    </font>
    <font>
      <name val="Arial"/>
      <i val="1"/>
      <color rgb="00888888"/>
      <sz val="9"/>
    </font>
    <font>
      <name val="Arial"/>
      <b val="1"/>
      <color rgb="002D2D2D"/>
      <sz val="10"/>
    </font>
    <font>
      <name val="Arial"/>
      <i val="1"/>
      <color rgb="00888888"/>
      <sz val="10"/>
    </font>
    <font>
      <name val="Calibri"/>
      <sz val="10"/>
    </font>
    <font>
      <name val="Arial"/>
      <b val="1"/>
      <color rgb="00BF360C"/>
      <sz val="12"/>
    </font>
    <font>
      <name val="Calibri"/>
      <color theme="1"/>
      <sz val="12"/>
    </font>
    <font>
      <name val="Arial"/>
      <color rgb="002D2D2D"/>
      <sz val="12"/>
    </font>
    <font>
      <name val="Calibri"/>
      <sz val="12"/>
    </font>
  </fonts>
  <fills count="6">
    <fill>
      <patternFill/>
    </fill>
    <fill>
      <patternFill patternType="gray125"/>
    </fill>
    <fill>
      <patternFill patternType="solid">
        <fgColor rgb="00BF360C"/>
      </patternFill>
    </fill>
    <fill>
      <patternFill patternType="solid">
        <fgColor rgb="002D2D2D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0" borderId="0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4" fillId="0" borderId="0" applyAlignment="1" pivotButton="0" quotePrefix="0" xfId="0">
      <alignment horizontal="left" vertical="center"/>
    </xf>
    <xf numFmtId="0" fontId="15" fillId="0" borderId="0" pivotButton="0" quotePrefix="0" xfId="0"/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.42857142857143" customWidth="1" min="1" max="1"/>
    <col width="107.1428571428571" customWidth="1" min="2" max="2"/>
  </cols>
  <sheetData>
    <row r="1" ht="40" customHeight="1">
      <c r="A1" s="1" t="inlineStr">
        <is>
          <t xml:space="preserve">  ByteBite 🍱 — Financial Model  |  Business Software Course · SRH Hochschule</t>
        </is>
      </c>
    </row>
    <row r="2" ht="22" customHeight="1">
      <c r="A2" s="20" t="inlineStr">
        <is>
          <t xml:space="preserve">  How to use this template</t>
        </is>
      </c>
      <c r="B2" s="21" t="n"/>
    </row>
    <row r="3">
      <c r="A3" s="21" t="n"/>
      <c r="B3" s="21" t="n"/>
    </row>
    <row r="4" ht="18" customHeight="1">
      <c r="A4" s="22" t="inlineStr"/>
      <c r="B4" s="21" t="n"/>
    </row>
    <row r="5" ht="18" customHeight="1">
      <c r="A5" s="20" t="inlineStr">
        <is>
          <t xml:space="preserve">  🟦  BLUE cells</t>
        </is>
      </c>
      <c r="B5" s="23" t="inlineStr">
        <is>
          <t>Pre-filled input values — these are given to you. Do not change them.</t>
        </is>
      </c>
    </row>
    <row r="6" ht="18" customHeight="1">
      <c r="A6" s="20" t="inlineStr">
        <is>
          <t xml:space="preserve">  🟨  YELLOW cells</t>
        </is>
      </c>
      <c r="B6" s="23" t="inlineStr">
        <is>
          <t>Your task — write the correct Excel formula in each yellow cell. Each cell shows a hint describing what to calculate.</t>
        </is>
      </c>
    </row>
    <row r="7" ht="18" customHeight="1">
      <c r="A7" s="20" t="inlineStr">
        <is>
          <t xml:space="preserve">  🟩  GREEN cells</t>
        </is>
      </c>
      <c r="B7" s="23" t="inlineStr">
        <is>
          <t>Auto-calculated results — formulas are already written. They update automatically once you fill in the yellow cells.</t>
        </is>
      </c>
    </row>
    <row r="8" ht="18" customHeight="1">
      <c r="A8" s="22" t="inlineStr"/>
      <c r="B8" s="21" t="n"/>
    </row>
    <row r="9" ht="18" customHeight="1">
      <c r="A9" s="20" t="inlineStr">
        <is>
          <t xml:space="preserve">  Step 1</t>
        </is>
      </c>
      <c r="B9" s="23" t="inlineStr">
        <is>
          <t>Open the 'Financial Model' tab (second sheet at the bottom of the screen).</t>
        </is>
      </c>
    </row>
    <row r="10" ht="18" customHeight="1">
      <c r="A10" s="20" t="inlineStr">
        <is>
          <t xml:space="preserve">  Step 2</t>
        </is>
      </c>
      <c r="B10" s="23" t="inlineStr">
        <is>
          <t>Read row 3 — it explains the colour coding. Blue = given input, Yellow = write your formula, Green = auto-calculated result.</t>
        </is>
      </c>
    </row>
    <row r="11" ht="18" customHeight="1">
      <c r="A11" s="20" t="inlineStr">
        <is>
          <t xml:space="preserve">  Step 3</t>
        </is>
      </c>
      <c r="B11" s="23" t="inlineStr">
        <is>
          <t>Start with the REVENUE section (rows 5–9). Each yellow cell in column D shows a hint (e.g. '= Qty × Price'). Write the formula using the values in columns B and C on the same row.</t>
        </is>
      </c>
    </row>
    <row r="12" ht="18" customHeight="1">
      <c r="A12" s="20" t="inlineStr">
        <is>
          <t xml:space="preserve">  Step 4</t>
        </is>
      </c>
      <c r="B12" s="23" t="inlineStr">
        <is>
          <t>Repeat for COST OF GOODS SOLD (rows 12–15) and FIXED COSTS (rows 22–26). The hints in each yellow cell tell you exactly what to calculate.</t>
        </is>
      </c>
    </row>
    <row r="13" ht="18" customHeight="1">
      <c r="A13" s="20" t="inlineStr">
        <is>
          <t xml:space="preserve">  Step 5</t>
        </is>
      </c>
      <c r="B13" s="23" t="inlineStr">
        <is>
          <t>Check your results: does the Operating Profit look reasonable for this company? Compare it to the financial snapshot on your company portfolio page.</t>
        </is>
      </c>
    </row>
    <row r="14" ht="18" customHeight="1">
      <c r="A14" s="22" t="inlineStr"/>
      <c r="B14" s="21" t="n"/>
    </row>
    <row r="15" ht="18" customHeight="1">
      <c r="A15" s="22" t="inlineStr">
        <is>
          <t xml:space="preserve">  Tip</t>
        </is>
      </c>
      <c r="B15" s="23" t="inlineStr">
        <is>
          <t>A hint like '= Qty × Price' means: multiply the value in column B by column C on the same row. For row 5, that means typing =B5*C5 in cell D5.</t>
        </is>
      </c>
    </row>
    <row r="16" ht="18" customHeight="1">
      <c r="A16" s="22" t="inlineStr">
        <is>
          <t xml:space="preserve">  Tip</t>
        </is>
      </c>
      <c r="B16" s="23" t="inlineStr">
        <is>
          <t>TOTAL rows (e.g. TOTAL REVENUE, TOTAL COGS) already have SUM formulas written in green — do not click into or overwrite them.</t>
        </is>
      </c>
    </row>
    <row r="17" ht="18" customHeight="1">
      <c r="A17" s="22" t="inlineStr">
        <is>
          <t xml:space="preserve">  Tip</t>
        </is>
      </c>
      <c r="B17" s="23" t="inlineStr">
        <is>
          <t>If a hint says '= C × 12', the rate in column C is a monthly figure. Multiply by 12 to get the annual amount — e.g. =C22*12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8" customWidth="1" min="5" max="5"/>
  </cols>
  <sheetData>
    <row r="1" ht="32" customHeight="1">
      <c r="A1" s="5" t="inlineStr">
        <is>
          <t xml:space="preserve">  ByteBite 🍱  |  Simplified P&amp;L Financial Model  |  FY 2025 (Projected)</t>
        </is>
      </c>
    </row>
    <row r="2" ht="22" customHeight="1">
      <c r="A2" s="6" t="inlineStr">
        <is>
          <t>Line Item</t>
        </is>
      </c>
      <c r="B2" s="6" t="inlineStr">
        <is>
          <t>Quantity / Driver</t>
        </is>
      </c>
      <c r="C2" s="6" t="inlineStr">
        <is>
          <t>Unit Rate / Price</t>
        </is>
      </c>
      <c r="D2" s="6" t="inlineStr">
        <is>
          <t>Amount (€)</t>
        </is>
      </c>
      <c r="E2" s="6" t="inlineStr"/>
    </row>
    <row r="3" ht="18" customHeight="1">
      <c r="A3" s="7" t="inlineStr">
        <is>
          <t xml:space="preserve">  🟦 Blue = given input  |  🟨 Yellow = write your formula here  |  🟩 Green = calculated result</t>
        </is>
      </c>
    </row>
    <row r="4">
      <c r="A4" s="8" t="inlineStr">
        <is>
          <t xml:space="preserve">  1.  REVENUE</t>
        </is>
      </c>
      <c r="B4" s="18" t="n"/>
      <c r="C4" s="18" t="n"/>
      <c r="D4" s="18" t="n"/>
      <c r="E4" s="19" t="n"/>
    </row>
    <row r="5">
      <c r="A5" s="9" t="inlineStr">
        <is>
          <t xml:space="preserve">    Classic Plan subscribers (5-day)  [Subscribers × Box Price (€)]</t>
        </is>
      </c>
      <c r="B5" s="10" t="n">
        <v>320</v>
      </c>
      <c r="C5" s="10" t="n">
        <v>14.99</v>
      </c>
      <c r="D5" s="11">
        <f> Qty × Price</f>
        <v/>
      </c>
      <c r="E5" s="12" t="inlineStr">
        <is>
          <t>€</t>
        </is>
      </c>
    </row>
    <row r="6">
      <c r="A6" s="9" t="inlineStr">
        <is>
          <t xml:space="preserve">    Keto Plan subscribers (5-day)  [Subscribers × Box Price (€)]</t>
        </is>
      </c>
      <c r="B6" s="10" t="n">
        <v>240</v>
      </c>
      <c r="C6" s="10" t="n">
        <v>14.99</v>
      </c>
      <c r="D6" s="11">
        <f> Qty × Price</f>
        <v/>
      </c>
      <c r="E6" s="12" t="inlineStr">
        <is>
          <t>€</t>
        </is>
      </c>
    </row>
    <row r="7">
      <c r="A7" s="9" t="inlineStr">
        <is>
          <t xml:space="preserve">    Vegan Plan subscribers (5-day)  [Subscribers × Box Price (€)]</t>
        </is>
      </c>
      <c r="B7" s="10" t="n">
        <v>310</v>
      </c>
      <c r="C7" s="10" t="n">
        <v>14.99</v>
      </c>
      <c r="D7" s="11">
        <f> Qty × Price</f>
        <v/>
      </c>
      <c r="E7" s="12" t="inlineStr">
        <is>
          <t>€</t>
        </is>
      </c>
    </row>
    <row r="8">
      <c r="A8" s="9" t="inlineStr">
        <is>
          <t xml:space="preserve">    High-Protein Plan subscribers  [Subscribers × Box Price (€)]</t>
        </is>
      </c>
      <c r="B8" s="10" t="n">
        <v>230</v>
      </c>
      <c r="C8" s="10" t="n">
        <v>14.99</v>
      </c>
      <c r="D8" s="11">
        <f> Qty × Price</f>
        <v/>
      </c>
      <c r="E8" s="12" t="inlineStr">
        <is>
          <t>€</t>
        </is>
      </c>
    </row>
    <row r="9">
      <c r="A9" s="13" t="inlineStr">
        <is>
          <t xml:space="preserve">    TOTAL REVENUE</t>
        </is>
      </c>
      <c r="B9" s="14" t="inlineStr"/>
      <c r="C9" s="14" t="inlineStr"/>
      <c r="D9" s="11">
        <f> SUM(D5:D8)</f>
        <v/>
      </c>
      <c r="E9" s="15" t="inlineStr">
        <is>
          <t>€</t>
        </is>
      </c>
    </row>
    <row r="10" ht="8" customHeight="1"/>
    <row r="11">
      <c r="A11" s="8" t="inlineStr">
        <is>
          <t xml:space="preserve">  2.  COST OF GOODS SOLD  (Variable Costs)</t>
        </is>
      </c>
      <c r="B11" s="18" t="n"/>
      <c r="C11" s="18" t="n"/>
      <c r="D11" s="18" t="n"/>
      <c r="E11" s="19" t="n"/>
    </row>
    <row r="12">
      <c r="A12" s="9" t="inlineStr">
        <is>
          <t xml:space="preserve">    Ingredients per box (avg)</t>
        </is>
      </c>
      <c r="B12" s="16" t="inlineStr">
        <is>
          <t>Total boxes/year: ~52,000</t>
        </is>
      </c>
      <c r="C12" s="10" t="n">
        <v>4.2</v>
      </c>
      <c r="D12" s="11">
        <f> Qty × Rate</f>
        <v/>
      </c>
      <c r="E12" s="12" t="inlineStr">
        <is>
          <t>€</t>
        </is>
      </c>
    </row>
    <row r="13">
      <c r="A13" s="9" t="inlineStr">
        <is>
          <t xml:space="preserve">    Packaging per box</t>
        </is>
      </c>
      <c r="B13" s="16" t="inlineStr">
        <is>
          <t>Total boxes/year: ~52,000</t>
        </is>
      </c>
      <c r="C13" s="10" t="n">
        <v>0.8</v>
      </c>
      <c r="D13" s="11">
        <f> Qty × Rate</f>
        <v/>
      </c>
      <c r="E13" s="12" t="inlineStr">
        <is>
          <t>€</t>
        </is>
      </c>
    </row>
    <row r="14">
      <c r="A14" s="9" t="inlineStr">
        <is>
          <t xml:space="preserve">    Cold-chain delivery per box</t>
        </is>
      </c>
      <c r="B14" s="16" t="inlineStr">
        <is>
          <t>Total boxes/year: ~52,000</t>
        </is>
      </c>
      <c r="C14" s="10" t="n">
        <v>2.5</v>
      </c>
      <c r="D14" s="11">
        <f> Qty × Rate</f>
        <v/>
      </c>
      <c r="E14" s="12" t="inlineStr">
        <is>
          <t>€</t>
        </is>
      </c>
    </row>
    <row r="15">
      <c r="A15" s="13" t="inlineStr">
        <is>
          <t xml:space="preserve">    TOTAL COGS</t>
        </is>
      </c>
      <c r="B15" s="14" t="inlineStr"/>
      <c r="C15" s="14" t="inlineStr"/>
      <c r="D15" s="11">
        <f> SUM(D12:D14)</f>
        <v/>
      </c>
      <c r="E15" s="15" t="inlineStr">
        <is>
          <t>€</t>
        </is>
      </c>
    </row>
    <row r="16" ht="8" customHeight="1"/>
    <row r="17">
      <c r="A17" s="8" t="inlineStr">
        <is>
          <t xml:space="preserve">  3.  GROSS PROFIT</t>
        </is>
      </c>
      <c r="B17" s="18" t="n"/>
      <c r="C17" s="18" t="n"/>
      <c r="D17" s="18" t="n"/>
      <c r="E17" s="19" t="n"/>
    </row>
    <row r="18">
      <c r="A18" s="13" t="inlineStr">
        <is>
          <t xml:space="preserve">    Gross Profit</t>
        </is>
      </c>
      <c r="B18" s="14" t="inlineStr"/>
      <c r="C18" s="14" t="inlineStr"/>
      <c r="D18" s="11">
        <f> D9 − D15</f>
        <v/>
      </c>
      <c r="E18" s="15" t="inlineStr">
        <is>
          <t>€</t>
        </is>
      </c>
    </row>
    <row r="19">
      <c r="A19" s="13" t="inlineStr">
        <is>
          <t xml:space="preserve">    Gross Margin %</t>
        </is>
      </c>
      <c r="B19" s="14" t="inlineStr"/>
      <c r="C19" s="14" t="inlineStr"/>
      <c r="D19" s="11">
        <f> D18 / D9</f>
        <v/>
      </c>
      <c r="E19" s="15" t="inlineStr">
        <is>
          <t>%</t>
        </is>
      </c>
    </row>
    <row r="20" ht="8" customHeight="1"/>
    <row r="21">
      <c r="A21" s="8" t="inlineStr">
        <is>
          <t xml:space="preserve">  4.  FIXED &amp; OPERATING COSTS</t>
        </is>
      </c>
      <c r="B21" s="18" t="n"/>
      <c r="C21" s="18" t="n"/>
      <c r="D21" s="18" t="n"/>
      <c r="E21" s="19" t="n"/>
    </row>
    <row r="22">
      <c r="A22" s="9" t="inlineStr">
        <is>
          <t xml:space="preserve">    Salaries (7 staff)</t>
        </is>
      </c>
      <c r="B22" s="16" t="inlineStr">
        <is>
          <t>per month × 12</t>
        </is>
      </c>
      <c r="C22" s="10" t="n">
        <v>14500</v>
      </c>
      <c r="D22" s="11">
        <f> C × 12</f>
        <v/>
      </c>
      <c r="E22" s="12" t="inlineStr">
        <is>
          <t>€</t>
        </is>
      </c>
    </row>
    <row r="23">
      <c r="A23" s="9" t="inlineStr">
        <is>
          <t xml:space="preserve">    Kitchen rent &amp; utilities</t>
        </is>
      </c>
      <c r="B23" s="16" t="inlineStr">
        <is>
          <t>per month × 12</t>
        </is>
      </c>
      <c r="C23" s="10" t="n">
        <v>2200</v>
      </c>
      <c r="D23" s="11">
        <f> C × 12</f>
        <v/>
      </c>
      <c r="E23" s="12" t="inlineStr">
        <is>
          <t>€</t>
        </is>
      </c>
    </row>
    <row r="24">
      <c r="A24" s="9" t="inlineStr">
        <is>
          <t xml:space="preserve">    Delivery vehicle lease</t>
        </is>
      </c>
      <c r="B24" s="16" t="inlineStr">
        <is>
          <t>per month × 12</t>
        </is>
      </c>
      <c r="C24" s="10" t="n">
        <v>680</v>
      </c>
      <c r="D24" s="11">
        <f> C × 12</f>
        <v/>
      </c>
      <c r="E24" s="12" t="inlineStr">
        <is>
          <t>€</t>
        </is>
      </c>
    </row>
    <row r="25">
      <c r="A25" s="9" t="inlineStr">
        <is>
          <t xml:space="preserve">    Software &amp; CRM</t>
        </is>
      </c>
      <c r="B25" s="16" t="inlineStr">
        <is>
          <t>per month × 12</t>
        </is>
      </c>
      <c r="C25" s="10" t="n">
        <v>220</v>
      </c>
      <c r="D25" s="11">
        <f> C × 12</f>
        <v/>
      </c>
      <c r="E25" s="12" t="inlineStr">
        <is>
          <t>€</t>
        </is>
      </c>
    </row>
    <row r="26">
      <c r="A26" s="13" t="inlineStr">
        <is>
          <t xml:space="preserve">    TOTAL FIXED COSTS</t>
        </is>
      </c>
      <c r="B26" s="14" t="inlineStr"/>
      <c r="C26" s="14" t="inlineStr"/>
      <c r="D26" s="11">
        <f> SUM(D22:D25)</f>
        <v/>
      </c>
      <c r="E26" s="15" t="inlineStr">
        <is>
          <t>€</t>
        </is>
      </c>
    </row>
    <row r="27" ht="8" customHeight="1"/>
    <row r="28">
      <c r="A28" s="8" t="inlineStr">
        <is>
          <t xml:space="preserve">  5.  OPERATING PROFIT (EBIT)</t>
        </is>
      </c>
      <c r="B28" s="18" t="n"/>
      <c r="C28" s="18" t="n"/>
      <c r="D28" s="18" t="n"/>
      <c r="E28" s="19" t="n"/>
    </row>
    <row r="29">
      <c r="A29" s="13" t="inlineStr">
        <is>
          <t xml:space="preserve">    Operating Profit (EBIT)</t>
        </is>
      </c>
      <c r="B29" s="14" t="inlineStr"/>
      <c r="C29" s="14" t="inlineStr"/>
      <c r="D29" s="11">
        <f> D18 − D26</f>
        <v/>
      </c>
      <c r="E29" s="15" t="inlineStr">
        <is>
          <t>€</t>
        </is>
      </c>
    </row>
    <row r="30" ht="8" customHeight="1"/>
    <row r="31">
      <c r="A31" s="8" t="inlineStr">
        <is>
          <t xml:space="preserve">  6.  BREAK-EVEN ANALYSIS</t>
        </is>
      </c>
      <c r="B31" s="18" t="n"/>
      <c r="C31" s="18" t="n"/>
      <c r="D31" s="18" t="n"/>
      <c r="E31" s="19" t="n"/>
    </row>
    <row r="32">
      <c r="A32" s="9" t="inlineStr">
        <is>
          <t xml:space="preserve">    Break-Even Units / Subscribers</t>
        </is>
      </c>
      <c r="B32" s="16" t="inlineStr">
        <is>
          <t>Fixed Costs ÷ (Price − Var. Cost/unit)</t>
        </is>
      </c>
      <c r="C32" s="14" t="inlineStr"/>
      <c r="D32" s="11">
        <f> Fixed ÷ (Price − Var.Cost)</f>
        <v/>
      </c>
      <c r="E32" s="12" t="inlineStr">
        <is>
          <t>units</t>
        </is>
      </c>
    </row>
    <row r="33" ht="8" customHeight="1"/>
    <row r="34">
      <c r="A34" s="7" t="inlineStr">
        <is>
          <t xml:space="preserve">  📌 Company context: ByteBite delivers boxes 5 days/week, ~52 weeks/year. Total boxes = subscribers × 260 deliveries/year. Use this to calculate variable costs. Contribution margin = Box price − variable cost per box.</t>
        </is>
      </c>
    </row>
  </sheetData>
  <mergeCells count="9">
    <mergeCell ref="A21:E21"/>
    <mergeCell ref="A34:E34"/>
    <mergeCell ref="A4:E4"/>
    <mergeCell ref="A28:E28"/>
    <mergeCell ref="A11:E11"/>
    <mergeCell ref="A1:E1"/>
    <mergeCell ref="A31:E31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2026-05-18T19:08:37Z</dcterms:created>
  <dcterms:modified xmlns:dcterms="http://purl.org/dc/terms/" xmlns:xsi="http://www.w3.org/2001/XMLSchema-instance" xsi:type="dcterms:W3CDTF">2026-05-28T12:28:30Z</dcterms:modified>
</cp:coreProperties>
</file>